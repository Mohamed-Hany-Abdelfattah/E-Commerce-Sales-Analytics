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7a7909b60f4dae64/Desktop/New folder (3)/"/>
    </mc:Choice>
  </mc:AlternateContent>
  <xr:revisionPtr revIDLastSave="1" documentId="11_6D1C98E5A952748E8C728FD676C8CAC559464437" xr6:coauthVersionLast="47" xr6:coauthVersionMax="47" xr10:uidLastSave="{6B1AA2C2-CE18-47D5-B623-6AEA0242CAA7}"/>
  <bookViews>
    <workbookView xWindow="-108" yWindow="-108" windowWidth="23256" windowHeight="13176" activeTab="2" xr2:uid="{00000000-000D-0000-FFFF-FFFF00000000}"/>
  </bookViews>
  <sheets>
    <sheet name="Raw_Data" sheetId="1" r:id="rId1"/>
    <sheet name="Summary" sheetId="2" r:id="rId2"/>
    <sheet name="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3" l="1"/>
  <c r="E4" i="3"/>
  <c r="D4" i="3"/>
  <c r="C4" i="3"/>
  <c r="B4" i="3"/>
  <c r="A4" i="3"/>
  <c r="C86" i="2"/>
  <c r="B86" i="2"/>
  <c r="C85" i="2"/>
  <c r="B85" i="2"/>
  <c r="C84" i="2"/>
  <c r="B84" i="2"/>
  <c r="C83" i="2"/>
  <c r="B83" i="2"/>
  <c r="C82" i="2"/>
  <c r="B82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C45" i="2"/>
  <c r="B45" i="2"/>
  <c r="C44" i="2"/>
  <c r="B44" i="2"/>
  <c r="C43" i="2"/>
  <c r="B43" i="2"/>
  <c r="B40" i="2"/>
  <c r="B39" i="2"/>
  <c r="B38" i="2"/>
  <c r="B37" i="2"/>
  <c r="B36" i="2"/>
  <c r="B35" i="2"/>
  <c r="B34" i="2"/>
  <c r="B33" i="2"/>
  <c r="B32" i="2"/>
  <c r="B31" i="2"/>
  <c r="B30" i="2"/>
  <c r="B29" i="2"/>
  <c r="D25" i="2"/>
  <c r="C25" i="2"/>
  <c r="B25" i="2"/>
  <c r="D24" i="2"/>
  <c r="C24" i="2"/>
  <c r="B24" i="2"/>
  <c r="D23" i="2"/>
  <c r="C23" i="2"/>
  <c r="B23" i="2"/>
  <c r="D22" i="2"/>
  <c r="C22" i="2"/>
  <c r="B22" i="2"/>
  <c r="D20" i="2"/>
  <c r="C20" i="2"/>
  <c r="B20" i="2"/>
  <c r="D19" i="2"/>
  <c r="C19" i="2"/>
  <c r="B19" i="2"/>
  <c r="D18" i="2"/>
  <c r="C18" i="2"/>
  <c r="B18" i="2"/>
  <c r="D17" i="2"/>
  <c r="C17" i="2"/>
  <c r="B17" i="2"/>
  <c r="D16" i="2"/>
  <c r="C16" i="2"/>
  <c r="B16" i="2"/>
  <c r="D15" i="2"/>
  <c r="C15" i="2"/>
  <c r="B15" i="2"/>
  <c r="D14" i="2"/>
  <c r="C14" i="2"/>
  <c r="B14" i="2"/>
  <c r="D13" i="2"/>
  <c r="C13" i="2"/>
  <c r="B13" i="2"/>
  <c r="D10" i="2"/>
  <c r="C10" i="2"/>
  <c r="B10" i="2"/>
  <c r="D9" i="2"/>
  <c r="C9" i="2"/>
  <c r="B9" i="2"/>
  <c r="D8" i="2"/>
  <c r="C8" i="2"/>
  <c r="B8" i="2"/>
  <c r="D7" i="2"/>
  <c r="C7" i="2"/>
  <c r="B7" i="2"/>
  <c r="D6" i="2"/>
  <c r="C6" i="2"/>
  <c r="B6" i="2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<sst xmlns="http://schemas.openxmlformats.org/spreadsheetml/2006/main" count="3713" uniqueCount="559">
  <si>
    <t>Order ID</t>
  </si>
  <si>
    <t>Date</t>
  </si>
  <si>
    <t>Customer</t>
  </si>
  <si>
    <t>Customer Type</t>
  </si>
  <si>
    <t>City</t>
  </si>
  <si>
    <t>Region</t>
  </si>
  <si>
    <t>Channel</t>
  </si>
  <si>
    <t>Payment Method</t>
  </si>
  <si>
    <t>Category</t>
  </si>
  <si>
    <t>Product</t>
  </si>
  <si>
    <t>Units Sold</t>
  </si>
  <si>
    <t>Unit Price</t>
  </si>
  <si>
    <t>Total Sales</t>
  </si>
  <si>
    <t>ORD-2001</t>
  </si>
  <si>
    <t>Nada Hassan</t>
  </si>
  <si>
    <t>Returning</t>
  </si>
  <si>
    <t>Rosetta</t>
  </si>
  <si>
    <t>Alexandria</t>
  </si>
  <si>
    <t>Website</t>
  </si>
  <si>
    <t>Wallet</t>
  </si>
  <si>
    <t>Fashion</t>
  </si>
  <si>
    <t>T-Shirt</t>
  </si>
  <si>
    <t>ORD-2002</t>
  </si>
  <si>
    <t>Walid Abdelrahman</t>
  </si>
  <si>
    <t>New</t>
  </si>
  <si>
    <t>Ismailia</t>
  </si>
  <si>
    <t>Canal</t>
  </si>
  <si>
    <t>Mobile App</t>
  </si>
  <si>
    <t>Credit Card</t>
  </si>
  <si>
    <t>Sports</t>
  </si>
  <si>
    <t>Treadmill</t>
  </si>
  <si>
    <t>ORD-2003</t>
  </si>
  <si>
    <t>Tarek Hamed</t>
  </si>
  <si>
    <t>Mansoura</t>
  </si>
  <si>
    <t>Delta</t>
  </si>
  <si>
    <t>Dress</t>
  </si>
  <si>
    <t>ORD-2004</t>
  </si>
  <si>
    <t>Nada Abdelrahman</t>
  </si>
  <si>
    <t>Mahalla</t>
  </si>
  <si>
    <t>Groceries</t>
  </si>
  <si>
    <t>Rice Bag</t>
  </si>
  <si>
    <t>ORD-2005</t>
  </si>
  <si>
    <t>Omar Nasser</t>
  </si>
  <si>
    <t>VIP</t>
  </si>
  <si>
    <t>Luxor</t>
  </si>
  <si>
    <t>Upper Egypt</t>
  </si>
  <si>
    <t>Cash on Delivery</t>
  </si>
  <si>
    <t>Books</t>
  </si>
  <si>
    <t>Self-Help Book</t>
  </si>
  <si>
    <t>ORD-2006</t>
  </si>
  <si>
    <t>Mahmoud Saleh</t>
  </si>
  <si>
    <t>Minya</t>
  </si>
  <si>
    <t>Phone</t>
  </si>
  <si>
    <t>Sneakers</t>
  </si>
  <si>
    <t>ORD-2007</t>
  </si>
  <si>
    <t>Laila Saleh</t>
  </si>
  <si>
    <t>Giza</t>
  </si>
  <si>
    <t>Cairo</t>
  </si>
  <si>
    <t>PayPal</t>
  </si>
  <si>
    <t>Toys</t>
  </si>
  <si>
    <t>Puzzle Set</t>
  </si>
  <si>
    <t>ORD-2008</t>
  </si>
  <si>
    <t>Electronics</t>
  </si>
  <si>
    <t>Smartphone</t>
  </si>
  <si>
    <t>ORD-2009</t>
  </si>
  <si>
    <t>Mai Soliman</t>
  </si>
  <si>
    <t>Building Blocks</t>
  </si>
  <si>
    <t>ORD-2010</t>
  </si>
  <si>
    <t>Farah Nasser</t>
  </si>
  <si>
    <t>Assiut</t>
  </si>
  <si>
    <t>ORD-2011</t>
  </si>
  <si>
    <t>Ibrahim Ezzat</t>
  </si>
  <si>
    <t>Social Media</t>
  </si>
  <si>
    <t>Laptop</t>
  </si>
  <si>
    <t>ORD-2012</t>
  </si>
  <si>
    <t>ORD-2013</t>
  </si>
  <si>
    <t>Aya Saleh</t>
  </si>
  <si>
    <t>Novel</t>
  </si>
  <si>
    <t>ORD-2014</t>
  </si>
  <si>
    <t>Home &amp; Kitchen</t>
  </si>
  <si>
    <t>Blender</t>
  </si>
  <si>
    <t>ORD-2015</t>
  </si>
  <si>
    <t>Laila Mahmoud</t>
  </si>
  <si>
    <t>ORD-2016</t>
  </si>
  <si>
    <t>Suez</t>
  </si>
  <si>
    <t>ORD-2017</t>
  </si>
  <si>
    <t>Aya Fouad</t>
  </si>
  <si>
    <t>Smart Watch</t>
  </si>
  <si>
    <t>ORD-2018</t>
  </si>
  <si>
    <t>Cookware Set</t>
  </si>
  <si>
    <t>ORD-2019</t>
  </si>
  <si>
    <t>Ibrahim Hassan</t>
  </si>
  <si>
    <t>Dumbbell Set</t>
  </si>
  <si>
    <t>ORD-2020</t>
  </si>
  <si>
    <t>Laila Hassan</t>
  </si>
  <si>
    <t>ORD-2021</t>
  </si>
  <si>
    <t>Amr ElSayed</t>
  </si>
  <si>
    <t>Tanta</t>
  </si>
  <si>
    <t>ORD-2022</t>
  </si>
  <si>
    <t>Mostafa Hassan</t>
  </si>
  <si>
    <t>Protein Powder</t>
  </si>
  <si>
    <t>ORD-2023</t>
  </si>
  <si>
    <t>Mohamed Fouad</t>
  </si>
  <si>
    <t>Textbook</t>
  </si>
  <si>
    <t>ORD-2024</t>
  </si>
  <si>
    <t>Aswan</t>
  </si>
  <si>
    <t>Beauty</t>
  </si>
  <si>
    <t>Lipstick</t>
  </si>
  <si>
    <t>ORD-2025</t>
  </si>
  <si>
    <t>ORD-2026</t>
  </si>
  <si>
    <t>Nada Gamal</t>
  </si>
  <si>
    <t>Port Said</t>
  </si>
  <si>
    <t>Remote Car</t>
  </si>
  <si>
    <t>ORD-2027</t>
  </si>
  <si>
    <t>Khaled Hassan</t>
  </si>
  <si>
    <t>ORD-2028</t>
  </si>
  <si>
    <t>ORD-2029</t>
  </si>
  <si>
    <t>ORD-2030</t>
  </si>
  <si>
    <t>Doaa Hassan</t>
  </si>
  <si>
    <t>ORD-2031</t>
  </si>
  <si>
    <t>Sugar Bag</t>
  </si>
  <si>
    <t>ORD-2032</t>
  </si>
  <si>
    <t>Mohamed Azab</t>
  </si>
  <si>
    <t>Jeans</t>
  </si>
  <si>
    <t>ORD-2033</t>
  </si>
  <si>
    <t>Cooking Oil</t>
  </si>
  <si>
    <t>ORD-2034</t>
  </si>
  <si>
    <t>ORD-2035</t>
  </si>
  <si>
    <t>ORD-2036</t>
  </si>
  <si>
    <t>Hossam Hassan</t>
  </si>
  <si>
    <t>Doll Set</t>
  </si>
  <si>
    <t>ORD-2037</t>
  </si>
  <si>
    <t>Alaa Shaker</t>
  </si>
  <si>
    <t>Hair Dryer</t>
  </si>
  <si>
    <t>ORD-2038</t>
  </si>
  <si>
    <t>Nour Mahmoud</t>
  </si>
  <si>
    <t>ORD-2039</t>
  </si>
  <si>
    <t>Nour ElSayed</t>
  </si>
  <si>
    <t>Coffee Maker</t>
  </si>
  <si>
    <t>ORD-2040</t>
  </si>
  <si>
    <t>Mohamed Ali</t>
  </si>
  <si>
    <t>ORD-2041</t>
  </si>
  <si>
    <t>ORD-2042</t>
  </si>
  <si>
    <t>ORD-2043</t>
  </si>
  <si>
    <t>ORD-2044</t>
  </si>
  <si>
    <t>Amr Fouad</t>
  </si>
  <si>
    <t>ORD-2045</t>
  </si>
  <si>
    <t>Ahmed Fouad</t>
  </si>
  <si>
    <t>ORD-2046</t>
  </si>
  <si>
    <t>Ahmed Gamal</t>
  </si>
  <si>
    <t>ORD-2047</t>
  </si>
  <si>
    <t>ORD-2048</t>
  </si>
  <si>
    <t>ORD-2049</t>
  </si>
  <si>
    <t>Yoga Mat</t>
  </si>
  <si>
    <t>ORD-2050</t>
  </si>
  <si>
    <t>ORD-2051</t>
  </si>
  <si>
    <t>ORD-2052</t>
  </si>
  <si>
    <t>ORD-2053</t>
  </si>
  <si>
    <t>Ibrahim Saleh</t>
  </si>
  <si>
    <t>ORD-2054</t>
  </si>
  <si>
    <t>Mai Saleh</t>
  </si>
  <si>
    <t>ORD-2055</t>
  </si>
  <si>
    <t>ORD-2056</t>
  </si>
  <si>
    <t>Skincare Set</t>
  </si>
  <si>
    <t>ORD-2057</t>
  </si>
  <si>
    <t>ORD-2058</t>
  </si>
  <si>
    <t>ORD-2059</t>
  </si>
  <si>
    <t>ORD-2060</t>
  </si>
  <si>
    <t>ORD-2061</t>
  </si>
  <si>
    <t>Omar Fathy</t>
  </si>
  <si>
    <t>ORD-2062</t>
  </si>
  <si>
    <t>ORD-2063</t>
  </si>
  <si>
    <t>Kids Book</t>
  </si>
  <si>
    <t>ORD-2064</t>
  </si>
  <si>
    <t>Youssef Ezzat</t>
  </si>
  <si>
    <t>ORD-2065</t>
  </si>
  <si>
    <t>Rana Saleh</t>
  </si>
  <si>
    <t>ORD-2066</t>
  </si>
  <si>
    <t>ORD-2067</t>
  </si>
  <si>
    <t>ORD-2068</t>
  </si>
  <si>
    <t>ORD-2069</t>
  </si>
  <si>
    <t>ORD-2070</t>
  </si>
  <si>
    <t>ORD-2071</t>
  </si>
  <si>
    <t>ORD-2072</t>
  </si>
  <si>
    <t>Tarek Soliman</t>
  </si>
  <si>
    <t>ORD-2073</t>
  </si>
  <si>
    <t>ORD-2074</t>
  </si>
  <si>
    <t>ORD-2075</t>
  </si>
  <si>
    <t>Coffee Pack</t>
  </si>
  <si>
    <t>ORD-2076</t>
  </si>
  <si>
    <t>Perfume</t>
  </si>
  <si>
    <t>ORD-2077</t>
  </si>
  <si>
    <t>ORD-2078</t>
  </si>
  <si>
    <t>ORD-2079</t>
  </si>
  <si>
    <t>ORD-2080</t>
  </si>
  <si>
    <t>Rana Mahmoud</t>
  </si>
  <si>
    <t>ORD-2081</t>
  </si>
  <si>
    <t>ORD-2082</t>
  </si>
  <si>
    <t>Ahmed Nasser</t>
  </si>
  <si>
    <t>ORD-2083</t>
  </si>
  <si>
    <t>ORD-2084</t>
  </si>
  <si>
    <t>ORD-2085</t>
  </si>
  <si>
    <t>Mostafa Hamed</t>
  </si>
  <si>
    <t>ORD-2086</t>
  </si>
  <si>
    <t>ORD-2087</t>
  </si>
  <si>
    <t>ORD-2088</t>
  </si>
  <si>
    <t>ORD-2089</t>
  </si>
  <si>
    <t>ORD-2090</t>
  </si>
  <si>
    <t>ORD-2091</t>
  </si>
  <si>
    <t>Nour Ibrahim</t>
  </si>
  <si>
    <t>ORD-2092</t>
  </si>
  <si>
    <t>ORD-2093</t>
  </si>
  <si>
    <t>ORD-2094</t>
  </si>
  <si>
    <t>Sara ElSayed</t>
  </si>
  <si>
    <t>ORD-2095</t>
  </si>
  <si>
    <t>ORD-2096</t>
  </si>
  <si>
    <t>ORD-2097</t>
  </si>
  <si>
    <t>ORD-2098</t>
  </si>
  <si>
    <t>ORD-2099</t>
  </si>
  <si>
    <t>ORD-2100</t>
  </si>
  <si>
    <t>ORD-2101</t>
  </si>
  <si>
    <t>ORD-2102</t>
  </si>
  <si>
    <t>ORD-2103</t>
  </si>
  <si>
    <t>ORD-2104</t>
  </si>
  <si>
    <t>ORD-2105</t>
  </si>
  <si>
    <t>ORD-2106</t>
  </si>
  <si>
    <t>ORD-2107</t>
  </si>
  <si>
    <t>ORD-2108</t>
  </si>
  <si>
    <t>ORD-2109</t>
  </si>
  <si>
    <t>ORD-2110</t>
  </si>
  <si>
    <t>ORD-2111</t>
  </si>
  <si>
    <t>ORD-2112</t>
  </si>
  <si>
    <t>ORD-2113</t>
  </si>
  <si>
    <t>ORD-2114</t>
  </si>
  <si>
    <t>ORD-2115</t>
  </si>
  <si>
    <t>ORD-2116</t>
  </si>
  <si>
    <t>ORD-2117</t>
  </si>
  <si>
    <t>ORD-2118</t>
  </si>
  <si>
    <t>ORD-2119</t>
  </si>
  <si>
    <t>ORD-2120</t>
  </si>
  <si>
    <t>Khaled ElSayed</t>
  </si>
  <si>
    <t>ORD-2121</t>
  </si>
  <si>
    <t>Air Fryer</t>
  </si>
  <si>
    <t>ORD-2122</t>
  </si>
  <si>
    <t>ORD-2123</t>
  </si>
  <si>
    <t>ORD-2124</t>
  </si>
  <si>
    <t>ORD-2125</t>
  </si>
  <si>
    <t>ORD-2126</t>
  </si>
  <si>
    <t>ORD-2127</t>
  </si>
  <si>
    <t>ORD-2128</t>
  </si>
  <si>
    <t>ORD-2129</t>
  </si>
  <si>
    <t>ORD-2130</t>
  </si>
  <si>
    <t>ORD-2131</t>
  </si>
  <si>
    <t>ORD-2132</t>
  </si>
  <si>
    <t>ORD-2133</t>
  </si>
  <si>
    <t>ORD-2134</t>
  </si>
  <si>
    <t>Wireless Headphones</t>
  </si>
  <si>
    <t>ORD-2135</t>
  </si>
  <si>
    <t>ORD-2136</t>
  </si>
  <si>
    <t>ORD-2137</t>
  </si>
  <si>
    <t>ORD-2138</t>
  </si>
  <si>
    <t>ORD-2139</t>
  </si>
  <si>
    <t>ORD-2140</t>
  </si>
  <si>
    <t>ORD-2141</t>
  </si>
  <si>
    <t>ORD-2142</t>
  </si>
  <si>
    <t>ORD-2143</t>
  </si>
  <si>
    <t>ORD-2144</t>
  </si>
  <si>
    <t>ORD-2145</t>
  </si>
  <si>
    <t>ORD-2146</t>
  </si>
  <si>
    <t>ORD-2147</t>
  </si>
  <si>
    <t>ORD-2148</t>
  </si>
  <si>
    <t>Hassan Hamed</t>
  </si>
  <si>
    <t>ORD-2149</t>
  </si>
  <si>
    <t>ORD-2150</t>
  </si>
  <si>
    <t>ORD-2151</t>
  </si>
  <si>
    <t>ORD-2152</t>
  </si>
  <si>
    <t>ORD-2153</t>
  </si>
  <si>
    <t>ORD-2154</t>
  </si>
  <si>
    <t>ORD-2155</t>
  </si>
  <si>
    <t>ORD-2156</t>
  </si>
  <si>
    <t>ORD-2157</t>
  </si>
  <si>
    <t>ORD-2158</t>
  </si>
  <si>
    <t>ORD-2159</t>
  </si>
  <si>
    <t>ORD-2160</t>
  </si>
  <si>
    <t>ORD-2161</t>
  </si>
  <si>
    <t>ORD-2162</t>
  </si>
  <si>
    <t>ORD-2163</t>
  </si>
  <si>
    <t>ORD-2164</t>
  </si>
  <si>
    <t>ORD-2165</t>
  </si>
  <si>
    <t>ORD-2166</t>
  </si>
  <si>
    <t>ORD-2167</t>
  </si>
  <si>
    <t>ORD-2168</t>
  </si>
  <si>
    <t>ORD-2169</t>
  </si>
  <si>
    <t>ORD-2170</t>
  </si>
  <si>
    <t>ORD-2171</t>
  </si>
  <si>
    <t>ORD-2172</t>
  </si>
  <si>
    <t>ORD-2173</t>
  </si>
  <si>
    <t>ORD-2174</t>
  </si>
  <si>
    <t>ORD-2175</t>
  </si>
  <si>
    <t>ORD-2176</t>
  </si>
  <si>
    <t>ORD-2177</t>
  </si>
  <si>
    <t>ORD-2178</t>
  </si>
  <si>
    <t>ORD-2179</t>
  </si>
  <si>
    <t>ORD-2180</t>
  </si>
  <si>
    <t>ORD-2181</t>
  </si>
  <si>
    <t>ORD-2182</t>
  </si>
  <si>
    <t>ORD-2183</t>
  </si>
  <si>
    <t>ORD-2184</t>
  </si>
  <si>
    <t>ORD-2185</t>
  </si>
  <si>
    <t>ORD-2186</t>
  </si>
  <si>
    <t>ORD-2187</t>
  </si>
  <si>
    <t>ORD-2188</t>
  </si>
  <si>
    <t>ORD-2189</t>
  </si>
  <si>
    <t>ORD-2190</t>
  </si>
  <si>
    <t>ORD-2191</t>
  </si>
  <si>
    <t>ORD-2192</t>
  </si>
  <si>
    <t>ORD-2193</t>
  </si>
  <si>
    <t>ORD-2194</t>
  </si>
  <si>
    <t>ORD-2195</t>
  </si>
  <si>
    <t>ORD-2196</t>
  </si>
  <si>
    <t>Khaled Fouad</t>
  </si>
  <si>
    <t>ORD-2197</t>
  </si>
  <si>
    <t>ORD-2198</t>
  </si>
  <si>
    <t>ORD-2199</t>
  </si>
  <si>
    <t>ORD-2200</t>
  </si>
  <si>
    <t>Aya Shaker</t>
  </si>
  <si>
    <t>ORD-2201</t>
  </si>
  <si>
    <t>ORD-2202</t>
  </si>
  <si>
    <t>ORD-2203</t>
  </si>
  <si>
    <t>ORD-2204</t>
  </si>
  <si>
    <t>ORD-2205</t>
  </si>
  <si>
    <t>ORD-2206</t>
  </si>
  <si>
    <t>ORD-2207</t>
  </si>
  <si>
    <t>ORD-2208</t>
  </si>
  <si>
    <t>ORD-2209</t>
  </si>
  <si>
    <t>ORD-2210</t>
  </si>
  <si>
    <t>ORD-2211</t>
  </si>
  <si>
    <t>ORD-2212</t>
  </si>
  <si>
    <t>ORD-2213</t>
  </si>
  <si>
    <t>ORD-2214</t>
  </si>
  <si>
    <t>ORD-2215</t>
  </si>
  <si>
    <t>ORD-2216</t>
  </si>
  <si>
    <t>ORD-2217</t>
  </si>
  <si>
    <t>ORD-2218</t>
  </si>
  <si>
    <t>ORD-2219</t>
  </si>
  <si>
    <t>ORD-2220</t>
  </si>
  <si>
    <t>ORD-2221</t>
  </si>
  <si>
    <t>ORD-2222</t>
  </si>
  <si>
    <t>ORD-2223</t>
  </si>
  <si>
    <t>ORD-2224</t>
  </si>
  <si>
    <t>ORD-2225</t>
  </si>
  <si>
    <t>ORD-2226</t>
  </si>
  <si>
    <t>ORD-2227</t>
  </si>
  <si>
    <t>ORD-2228</t>
  </si>
  <si>
    <t>ORD-2229</t>
  </si>
  <si>
    <t>ORD-2230</t>
  </si>
  <si>
    <t>ORD-2231</t>
  </si>
  <si>
    <t>ORD-2232</t>
  </si>
  <si>
    <t>ORD-2233</t>
  </si>
  <si>
    <t>ORD-2234</t>
  </si>
  <si>
    <t>ORD-2235</t>
  </si>
  <si>
    <t>ORD-2236</t>
  </si>
  <si>
    <t>ORD-2237</t>
  </si>
  <si>
    <t>ORD-2238</t>
  </si>
  <si>
    <t>ORD-2239</t>
  </si>
  <si>
    <t>ORD-2240</t>
  </si>
  <si>
    <t>ORD-2241</t>
  </si>
  <si>
    <t>ORD-2242</t>
  </si>
  <si>
    <t>ORD-2243</t>
  </si>
  <si>
    <t>ORD-2244</t>
  </si>
  <si>
    <t>ORD-2245</t>
  </si>
  <si>
    <t>ORD-2246</t>
  </si>
  <si>
    <t>ORD-2247</t>
  </si>
  <si>
    <t>ORD-2248</t>
  </si>
  <si>
    <t>ORD-2249</t>
  </si>
  <si>
    <t>ORD-2250</t>
  </si>
  <si>
    <t>ORD-2251</t>
  </si>
  <si>
    <t>ORD-2252</t>
  </si>
  <si>
    <t>ORD-2253</t>
  </si>
  <si>
    <t>ORD-2254</t>
  </si>
  <si>
    <t>ORD-2255</t>
  </si>
  <si>
    <t>ORD-2256</t>
  </si>
  <si>
    <t>ORD-2257</t>
  </si>
  <si>
    <t>ORD-2258</t>
  </si>
  <si>
    <t>ORD-2259</t>
  </si>
  <si>
    <t>ORD-2260</t>
  </si>
  <si>
    <t>ORD-2261</t>
  </si>
  <si>
    <t>ORD-2262</t>
  </si>
  <si>
    <t>ORD-2263</t>
  </si>
  <si>
    <t>ORD-2264</t>
  </si>
  <si>
    <t>ORD-2265</t>
  </si>
  <si>
    <t>ORD-2266</t>
  </si>
  <si>
    <t>ORD-2267</t>
  </si>
  <si>
    <t>ORD-2268</t>
  </si>
  <si>
    <t>ORD-2269</t>
  </si>
  <si>
    <t>ORD-2270</t>
  </si>
  <si>
    <t>ORD-2271</t>
  </si>
  <si>
    <t>ORD-2272</t>
  </si>
  <si>
    <t>ORD-2273</t>
  </si>
  <si>
    <t>ORD-2274</t>
  </si>
  <si>
    <t>ORD-2275</t>
  </si>
  <si>
    <t>Salma Galal</t>
  </si>
  <si>
    <t>ORD-2276</t>
  </si>
  <si>
    <t>ORD-2277</t>
  </si>
  <si>
    <t>ORD-2278</t>
  </si>
  <si>
    <t>ORD-2279</t>
  </si>
  <si>
    <t>ORD-2280</t>
  </si>
  <si>
    <t>ORD-2281</t>
  </si>
  <si>
    <t>ORD-2282</t>
  </si>
  <si>
    <t>ORD-2283</t>
  </si>
  <si>
    <t>ORD-2284</t>
  </si>
  <si>
    <t>ORD-2285</t>
  </si>
  <si>
    <t>ORD-2286</t>
  </si>
  <si>
    <t>ORD-2287</t>
  </si>
  <si>
    <t>ORD-2288</t>
  </si>
  <si>
    <t>ORD-2289</t>
  </si>
  <si>
    <t>ORD-2290</t>
  </si>
  <si>
    <t>ORD-2291</t>
  </si>
  <si>
    <t>ORD-2292</t>
  </si>
  <si>
    <t>ORD-2293</t>
  </si>
  <si>
    <t>ORD-2294</t>
  </si>
  <si>
    <t>ORD-2295</t>
  </si>
  <si>
    <t>ORD-2296</t>
  </si>
  <si>
    <t>ORD-2297</t>
  </si>
  <si>
    <t>ORD-2298</t>
  </si>
  <si>
    <t>ORD-2299</t>
  </si>
  <si>
    <t>ORD-2300</t>
  </si>
  <si>
    <t>ORD-2301</t>
  </si>
  <si>
    <t>ORD-2302</t>
  </si>
  <si>
    <t>ORD-2303</t>
  </si>
  <si>
    <t>ORD-2304</t>
  </si>
  <si>
    <t>ORD-2305</t>
  </si>
  <si>
    <t>ORD-2306</t>
  </si>
  <si>
    <t>ORD-2307</t>
  </si>
  <si>
    <t>ORD-2308</t>
  </si>
  <si>
    <t>ORD-2309</t>
  </si>
  <si>
    <t>ORD-2310</t>
  </si>
  <si>
    <t>ORD-2311</t>
  </si>
  <si>
    <t>ORD-2312</t>
  </si>
  <si>
    <t>ORD-2313</t>
  </si>
  <si>
    <t>ORD-2314</t>
  </si>
  <si>
    <t>ORD-2315</t>
  </si>
  <si>
    <t>Hend Hassan</t>
  </si>
  <si>
    <t>ORD-2316</t>
  </si>
  <si>
    <t>ORD-2317</t>
  </si>
  <si>
    <t>ORD-2318</t>
  </si>
  <si>
    <t>ORD-2319</t>
  </si>
  <si>
    <t>ORD-2320</t>
  </si>
  <si>
    <t>ORD-2321</t>
  </si>
  <si>
    <t>ORD-2322</t>
  </si>
  <si>
    <t>ORD-2323</t>
  </si>
  <si>
    <t>ORD-2324</t>
  </si>
  <si>
    <t>ORD-2325</t>
  </si>
  <si>
    <t>ORD-2326</t>
  </si>
  <si>
    <t>ORD-2327</t>
  </si>
  <si>
    <t>ORD-2328</t>
  </si>
  <si>
    <t>ORD-2329</t>
  </si>
  <si>
    <t>ORD-2330</t>
  </si>
  <si>
    <t>ORD-2331</t>
  </si>
  <si>
    <t>ORD-2332</t>
  </si>
  <si>
    <t>ORD-2333</t>
  </si>
  <si>
    <t>ORD-2334</t>
  </si>
  <si>
    <t>ORD-2335</t>
  </si>
  <si>
    <t>ORD-2336</t>
  </si>
  <si>
    <t>ORD-2337</t>
  </si>
  <si>
    <t>ORD-2338</t>
  </si>
  <si>
    <t>ORD-2339</t>
  </si>
  <si>
    <t>ORD-2340</t>
  </si>
  <si>
    <t>ORD-2341</t>
  </si>
  <si>
    <t>ORD-2342</t>
  </si>
  <si>
    <t>ORD-2343</t>
  </si>
  <si>
    <t>ORD-2344</t>
  </si>
  <si>
    <t>ORD-2345</t>
  </si>
  <si>
    <t>ORD-2346</t>
  </si>
  <si>
    <t>ORD-2347</t>
  </si>
  <si>
    <t>ORD-2348</t>
  </si>
  <si>
    <t>ORD-2349</t>
  </si>
  <si>
    <t>ORD-2350</t>
  </si>
  <si>
    <t>ORD-2351</t>
  </si>
  <si>
    <t>ORD-2352</t>
  </si>
  <si>
    <t>ORD-2353</t>
  </si>
  <si>
    <t>ORD-2354</t>
  </si>
  <si>
    <t>ORD-2355</t>
  </si>
  <si>
    <t>ORD-2356</t>
  </si>
  <si>
    <t>ORD-2357</t>
  </si>
  <si>
    <t>ORD-2358</t>
  </si>
  <si>
    <t>ORD-2359</t>
  </si>
  <si>
    <t>ORD-2360</t>
  </si>
  <si>
    <t>ORD-2361</t>
  </si>
  <si>
    <t>ORD-2362</t>
  </si>
  <si>
    <t>ORD-2363</t>
  </si>
  <si>
    <t>ORD-2364</t>
  </si>
  <si>
    <t>ORD-2365</t>
  </si>
  <si>
    <t>ORD-2366</t>
  </si>
  <si>
    <t>ORD-2367</t>
  </si>
  <si>
    <t>ORD-2368</t>
  </si>
  <si>
    <t>ORD-2369</t>
  </si>
  <si>
    <t>ORD-2370</t>
  </si>
  <si>
    <t>ORD-2371</t>
  </si>
  <si>
    <t>ORD-2372</t>
  </si>
  <si>
    <t>ORD-2373</t>
  </si>
  <si>
    <t>ORD-2374</t>
  </si>
  <si>
    <t>ORD-2375</t>
  </si>
  <si>
    <t>ORD-2376</t>
  </si>
  <si>
    <t>ORD-2377</t>
  </si>
  <si>
    <t>ORD-2378</t>
  </si>
  <si>
    <t>ORD-2379</t>
  </si>
  <si>
    <t>ORD-2380</t>
  </si>
  <si>
    <t>ORD-2381</t>
  </si>
  <si>
    <t>ORD-2382</t>
  </si>
  <si>
    <t>ORD-2383</t>
  </si>
  <si>
    <t>ORD-2384</t>
  </si>
  <si>
    <t>ORD-2385</t>
  </si>
  <si>
    <t>ORD-2386</t>
  </si>
  <si>
    <t>ORD-2387</t>
  </si>
  <si>
    <t>ORD-2388</t>
  </si>
  <si>
    <t>ORD-2389</t>
  </si>
  <si>
    <t>ORD-2390</t>
  </si>
  <si>
    <t>ORD-2391</t>
  </si>
  <si>
    <t>ORD-2392</t>
  </si>
  <si>
    <t>ORD-2393</t>
  </si>
  <si>
    <t>ORD-2394</t>
  </si>
  <si>
    <t>ORD-2395</t>
  </si>
  <si>
    <t>ORD-2396</t>
  </si>
  <si>
    <t>ORD-2397</t>
  </si>
  <si>
    <t>ORD-2398</t>
  </si>
  <si>
    <t>ORD-2399</t>
  </si>
  <si>
    <t>ORD-2400</t>
  </si>
  <si>
    <t>E-Commerce Sales Analytics - Summary</t>
  </si>
  <si>
    <t>1) Sales by Region</t>
  </si>
  <si>
    <t>Orders</t>
  </si>
  <si>
    <t>Avg Order Value</t>
  </si>
  <si>
    <t>2) Sales by Category</t>
  </si>
  <si>
    <t>% of Total</t>
  </si>
  <si>
    <t>3) Sales by Channel</t>
  </si>
  <si>
    <t>Avg</t>
  </si>
  <si>
    <t>4) Monthly Sales Trend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</si>
  <si>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</si>
  <si>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</si>
  <si>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</si>
  <si>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</si>
  <si>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</si>
  <si>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</si>
  <si>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</si>
  <si>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</si>
  <si>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</si>
  <si>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</si>
  <si>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</si>
  <si>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</si>
  <si>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</si>
  <si>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5) Sales by Customer Type</t>
  </si>
  <si>
    <t>6) Product Performance</t>
  </si>
  <si>
    <t>7) Top 5 Products</t>
  </si>
  <si>
    <t>Rank</t>
  </si>
  <si>
    <t>E-Commerce Sales Analytics Dashboard</t>
  </si>
  <si>
    <t>Total Orders</t>
  </si>
  <si>
    <t>Total Units</t>
  </si>
  <si>
    <t>Top Category</t>
  </si>
  <si>
    <t>Top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</si>
</sst>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6" formatCode="0.0%"/>
    <numFmt numFmtId="167" formatCode="yyyy\-mm\-dd"/>
  </numFmts>
  <fonts count="10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B0F0"/>
      <name val="Calibri"/>
      <charset val="134"/>
      <scheme val="minor"/>
    </font>
    <font>
      <b/>
      <sz val="20"/>
      <color theme="0"/>
      <name val="Calibri"/>
      <family val="2"/>
      <scheme val="minor"/>
    </font>
    <font>
      <b/>
      <sz val="11"/>
      <color theme="6" tint="0.39997558519241921"/>
      <name val="Calibri"/>
      <family val="2"/>
      <scheme val="minor"/>
    </font>
    <font>
      <sz val="11"/>
      <color theme="6" tint="0.39997558519241921"/>
      <name val="Calibri"/>
      <family val="2"/>
      <scheme val="minor"/>
    </font>
    <font>
      <b/>
      <sz val="20"/>
      <color rgb="FF0070C0"/>
      <name val="Calibri"/>
      <family val="2"/>
      <scheme val="minor"/>
    </font>
    <font>
      <sz val="20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D712F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4" fontId="0" fillId="0" borderId="0" xfId="0" applyNumberFormat="1">
      <alignment vertical="center"/>
    </xf>
    <xf numFmtId="166" fontId="0" fillId="0" borderId="0" xfId="0" applyNumberFormat="1">
      <alignment vertical="center"/>
    </xf>
    <xf numFmtId="0" fontId="1" fillId="2" borderId="0" xfId="0" applyFont="1" applyFill="1">
      <alignment vertical="center"/>
    </xf>
    <xf numFmtId="167" fontId="0" fillId="0" borderId="0" xfId="0" applyNumberFormat="1">
      <alignment vertical="center"/>
    </xf>
    <xf numFmtId="3" fontId="4" fillId="0" borderId="0" xfId="0" applyNumberFormat="1" applyFont="1">
      <alignment vertical="center"/>
    </xf>
    <xf numFmtId="0" fontId="0" fillId="3" borderId="0" xfId="0" applyFill="1">
      <alignment vertical="center"/>
    </xf>
    <xf numFmtId="0" fontId="5" fillId="4" borderId="0" xfId="0" applyFont="1" applyFill="1">
      <alignment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0" xfId="0" applyFont="1" applyFill="1">
      <alignment vertical="center"/>
    </xf>
    <xf numFmtId="0" fontId="7" fillId="0" borderId="0" xfId="0" applyFo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0" xfId="0" applyFont="1" applyFill="1">
      <alignment vertical="center"/>
    </xf>
    <xf numFmtId="0" fontId="9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Summary!$A$13:$A$19</c:f>
              <c:strCache>
                <c:ptCount val="7"/>
                <c:pt idx="0">
                  <c:v>Electronics</c:v>
                </c:pt>
                <c:pt idx="1">
                  <c:v>Fashion</c:v>
                </c:pt>
                <c:pt idx="2">
                  <c:v>Home &amp; Kitchen</c:v>
                </c:pt>
                <c:pt idx="3">
                  <c:v>Beauty</c:v>
                </c:pt>
                <c:pt idx="4">
                  <c:v>Sports</c:v>
                </c:pt>
                <c:pt idx="5">
                  <c:v>Books</c:v>
                </c:pt>
                <c:pt idx="6">
                  <c:v>Groceries</c:v>
                </c:pt>
              </c:strCache>
            </c:strRef>
          </c:cat>
          <c:val>
            <c:numRef>
              <c:f>Summary!$B$13:$B$19</c:f>
              <c:numCache>
                <c:formatCode>#,##0</c:formatCode>
                <c:ptCount val="7"/>
                <c:pt idx="0">
                  <c:v>1657187</c:v>
                </c:pt>
                <c:pt idx="1">
                  <c:v>220070</c:v>
                </c:pt>
                <c:pt idx="2">
                  <c:v>528620</c:v>
                </c:pt>
                <c:pt idx="3">
                  <c:v>171344</c:v>
                </c:pt>
                <c:pt idx="4">
                  <c:v>739404</c:v>
                </c:pt>
                <c:pt idx="5">
                  <c:v>49045</c:v>
                </c:pt>
                <c:pt idx="6">
                  <c:v>37609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9-4324-A760-806D7CCC8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1250261"/>
        <c:axId val="116512492"/>
      </c:barChart>
      <c:catAx>
        <c:axId val="89125026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12492"/>
        <c:crosses val="autoZero"/>
        <c:auto val="1"/>
        <c:lblAlgn val="ctr"/>
        <c:lblOffset val="100"/>
        <c:noMultiLvlLbl val="0"/>
      </c:catAx>
      <c:valAx>
        <c:axId val="116512492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250261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>
          <a:tint val="75000"/>
        </a:schemeClr>
      </a:solidFill>
      <a:prstDash val="solid"/>
      <a:round/>
    </a:ln>
    <a:effectLst>
      <a:glow rad="127000">
        <a:schemeClr val="bg1"/>
      </a:glow>
      <a:outerShdw dist="50800" dir="4380000" sx="33000" sy="33000" algn="ctr" rotWithShape="0">
        <a:schemeClr val="bg1"/>
      </a:outerShdw>
    </a:effectLst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Channel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2BF3-4FE1-B896-AD5098E7A293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2BF3-4FE1-B896-AD5098E7A293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2BF3-4FE1-B896-AD5098E7A293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2BF3-4FE1-B896-AD5098E7A293}"/>
              </c:ext>
            </c:extLst>
          </c:dPt>
          <c:cat>
            <c:strRef>
              <c:f>Summary!$A$22:$A$25</c:f>
              <c:strCache>
                <c:ptCount val="4"/>
                <c:pt idx="0">
                  <c:v>Website</c:v>
                </c:pt>
                <c:pt idx="1">
                  <c:v>Mobile App</c:v>
                </c:pt>
                <c:pt idx="2">
                  <c:v>Social Media</c:v>
                </c:pt>
                <c:pt idx="3">
                  <c:v>Phone</c:v>
                </c:pt>
              </c:strCache>
            </c:strRef>
          </c:cat>
          <c:val>
            <c:numRef>
              <c:f>Summary!$B$22:$B$25</c:f>
              <c:numCache>
                <c:formatCode>#,##0</c:formatCode>
                <c:ptCount val="4"/>
                <c:pt idx="0">
                  <c:v>1232865</c:v>
                </c:pt>
                <c:pt idx="1">
                  <c:v>1322523</c:v>
                </c:pt>
                <c:pt idx="2">
                  <c:v>564317</c:v>
                </c:pt>
                <c:pt idx="3">
                  <c:v>375223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F3-4FE1-B896-AD5098E7A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effectLst>
      <a:glow rad="127000">
        <a:schemeClr val="bg1"/>
      </a:glow>
      <a:outerShdw blurRad="50800" dist="50800" dir="5400000" sx="93000" sy="93000" algn="ctr" rotWithShape="0">
        <a:schemeClr val="bg1"/>
      </a:outerShdw>
    </a:effectLst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strRef>
              <c:f>Summary!$A$29:$A$40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Summary!$B$29:$B$40</c:f>
              <c:numCache>
                <c:formatCode>#,##0</c:formatCode>
                <c:ptCount val="12"/>
                <c:pt idx="0">
                  <c:v>250689</c:v>
                </c:pt>
                <c:pt idx="1">
                  <c:v>243228</c:v>
                </c:pt>
                <c:pt idx="2">
                  <c:v>312835</c:v>
                </c:pt>
                <c:pt idx="3">
                  <c:v>213849</c:v>
                </c:pt>
                <c:pt idx="4">
                  <c:v>384355</c:v>
                </c:pt>
                <c:pt idx="5">
                  <c:v>438231</c:v>
                </c:pt>
                <c:pt idx="6">
                  <c:v>205963</c:v>
                </c:pt>
                <c:pt idx="7">
                  <c:v>591748</c:v>
                </c:pt>
                <c:pt idx="8">
                  <c:v>124855</c:v>
                </c:pt>
                <c:pt idx="9">
                  <c:v>398809</c:v>
                </c:pt>
                <c:pt idx="10">
                  <c:v>135285</c:v>
                </c:pt>
                <c:pt idx="11">
                  <c:v>195081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3F-4AA7-8449-3353FB992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980400"/>
        <c:axId val="668513369"/>
      </c:lineChart>
      <c:catAx>
        <c:axId val="1269804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513369"/>
        <c:crosses val="autoZero"/>
        <c:auto val="1"/>
        <c:lblAlgn val="ctr"/>
        <c:lblOffset val="100"/>
        <c:noMultiLvlLbl val="0"/>
      </c:catAx>
      <c:valAx>
        <c:axId val="668513369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80400"/>
        <c:crosses val="autoZero"/>
        <c:crossBetween val="between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effectLst>
      <a:glow rad="127000">
        <a:schemeClr val="bg1"/>
      </a:glow>
      <a:outerShdw blurRad="50800" dist="50800" dir="5400000" sx="64000" sy="64000" algn="ctr" rotWithShape="0">
        <a:schemeClr val="bg1"/>
      </a:outerShdw>
    </a:effectLst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3">
                <a:lumMod val="75000"/>
              </a:schemeClr>
            </a:solidFill>
          </c:spPr>
          <c:invertIfNegative val="0"/>
          <c:cat>
            <c:strRef>
              <c:f>Summary!$A$6:$A$10</c:f>
              <c:strCache>
                <c:ptCount val="5"/>
                <c:pt idx="0">
                  <c:v>Cairo</c:v>
                </c:pt>
                <c:pt idx="1">
                  <c:v>Delta</c:v>
                </c:pt>
                <c:pt idx="2">
                  <c:v>Alexandria</c:v>
                </c:pt>
                <c:pt idx="3">
                  <c:v>Canal</c:v>
                </c:pt>
                <c:pt idx="4">
                  <c:v>Upper Egypt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600111</c:v>
                </c:pt>
                <c:pt idx="1">
                  <c:v>461366</c:v>
                </c:pt>
                <c:pt idx="2">
                  <c:v>390559</c:v>
                </c:pt>
                <c:pt idx="3">
                  <c:v>521612</c:v>
                </c:pt>
                <c:pt idx="4">
                  <c:v>1521280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52-4808-A505-02A000615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4204820"/>
        <c:axId val="224580978"/>
      </c:barChart>
      <c:catAx>
        <c:axId val="88420482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580978"/>
        <c:crosses val="autoZero"/>
        <c:auto val="1"/>
        <c:lblAlgn val="ctr"/>
        <c:lblOffset val="100"/>
        <c:noMultiLvlLbl val="0"/>
      </c:catAx>
      <c:valAx>
        <c:axId val="224580978"/>
        <c:scaling>
          <c:orientation val="minMax"/>
        </c:scaling>
        <c:delete val="0"/>
        <c:axPos val="b"/>
        <c:majorGridlines/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204820"/>
        <c:crosses val="autoZero"/>
        <c:crossBetween val="between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effectLst>
      <a:glow rad="127000">
        <a:schemeClr val="bg1"/>
      </a:glow>
      <a:outerShdw blurRad="50800" dist="50800" dir="5400000" sx="60000" sy="60000" algn="ctr" rotWithShape="0">
        <a:schemeClr val="bg1"/>
      </a:outerShdw>
    </a:effectLst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170732</xdr:colOff>
      <xdr:row>4</xdr:row>
      <xdr:rowOff>222049</xdr:rowOff>
    </xdr:from>
    <xdr:to>
      <xdr:col>3</xdr:col>
      <xdr:colOff>1420091</xdr:colOff>
      <xdr:row>21</xdr:row>
      <xdr:rowOff>138546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1762760</xdr:colOff>
      <xdr:row>4</xdr:row>
      <xdr:rowOff>225136</xdr:rowOff>
    </xdr:from>
    <xdr:to>
      <xdr:col>5</xdr:col>
      <xdr:colOff>2996046</xdr:colOff>
      <xdr:row>21</xdr:row>
      <xdr:rowOff>103909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161636</xdr:colOff>
      <xdr:row>23</xdr:row>
      <xdr:rowOff>108873</xdr:rowOff>
    </xdr:from>
    <xdr:to>
      <xdr:col>3</xdr:col>
      <xdr:colOff>362296</xdr:colOff>
      <xdr:row>39</xdr:row>
      <xdr:rowOff>86591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692727</xdr:colOff>
      <xdr:row>23</xdr:row>
      <xdr:rowOff>95250</xdr:rowOff>
    </xdr:from>
    <xdr:to>
      <xdr:col>5</xdr:col>
      <xdr:colOff>2961410</xdr:colOff>
      <xdr:row>39</xdr:row>
      <xdr:rowOff>51955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1"/>
  <sheetViews>
    <sheetView workbookViewId="0">
      <pane ySplit="1" topLeftCell="A2" activePane="bottomLeft" state="frozenSplit"/>
      <selection pane="bottomLeft"/>
    </sheetView>
  </sheetViews>
  <sheetFormatPr defaultColWidth="8.88671875" defaultRowHeight="14.4"/>
  <cols>
    <col min="1" max="2" width="12.77734375" customWidth="1"/>
    <col min="3" max="3" width="20.77734375" customWidth="1"/>
    <col min="4" max="7" width="14.77734375" customWidth="1"/>
    <col min="8" max="8" width="18.77734375" customWidth="1"/>
    <col min="9" max="9" width="16.77734375" customWidth="1"/>
    <col min="10" max="10" width="18.77734375" customWidth="1"/>
    <col min="11" max="13" width="12.77734375" customWidth="1"/>
  </cols>
  <sheetData>
    <row r="1" spans="1:13" s="8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9">
        <v>45916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2</v>
      </c>
      <c r="L2" s="4">
        <v>1836</v>
      </c>
      <c r="M2" s="10">
        <f t="shared" ref="M2:M65" si="0">K2*L2</f>
        <v>3672</v>
      </c>
    </row>
    <row r="3" spans="1:13">
      <c r="A3" t="s">
        <v>22</v>
      </c>
      <c r="B3" s="9">
        <v>45844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>
        <v>4</v>
      </c>
      <c r="L3" s="4">
        <v>340</v>
      </c>
      <c r="M3" s="10">
        <f t="shared" si="0"/>
        <v>1360</v>
      </c>
    </row>
    <row r="4" spans="1:13">
      <c r="A4" t="s">
        <v>31</v>
      </c>
      <c r="B4" s="9">
        <v>45783</v>
      </c>
      <c r="C4" t="s">
        <v>32</v>
      </c>
      <c r="D4" t="s">
        <v>15</v>
      </c>
      <c r="E4" t="s">
        <v>33</v>
      </c>
      <c r="F4" t="s">
        <v>34</v>
      </c>
      <c r="G4" t="s">
        <v>18</v>
      </c>
      <c r="H4" t="s">
        <v>28</v>
      </c>
      <c r="I4" t="s">
        <v>20</v>
      </c>
      <c r="J4" t="s">
        <v>35</v>
      </c>
      <c r="K4">
        <v>3</v>
      </c>
      <c r="L4" s="4">
        <v>417</v>
      </c>
      <c r="M4" s="10">
        <f t="shared" si="0"/>
        <v>1251</v>
      </c>
    </row>
    <row r="5" spans="1:13">
      <c r="A5" t="s">
        <v>36</v>
      </c>
      <c r="B5" s="9">
        <v>46019</v>
      </c>
      <c r="C5" t="s">
        <v>37</v>
      </c>
      <c r="D5" t="s">
        <v>15</v>
      </c>
      <c r="E5" t="s">
        <v>38</v>
      </c>
      <c r="F5" t="s">
        <v>34</v>
      </c>
      <c r="G5" t="s">
        <v>18</v>
      </c>
      <c r="H5" t="s">
        <v>19</v>
      </c>
      <c r="I5" t="s">
        <v>39</v>
      </c>
      <c r="J5" t="s">
        <v>40</v>
      </c>
      <c r="K5">
        <v>1</v>
      </c>
      <c r="L5" s="4">
        <v>383</v>
      </c>
      <c r="M5" s="10">
        <f t="shared" si="0"/>
        <v>383</v>
      </c>
    </row>
    <row r="6" spans="1:13">
      <c r="A6" t="s">
        <v>41</v>
      </c>
      <c r="B6" s="9">
        <v>45984</v>
      </c>
      <c r="C6" t="s">
        <v>42</v>
      </c>
      <c r="D6" t="s">
        <v>43</v>
      </c>
      <c r="E6" t="s">
        <v>44</v>
      </c>
      <c r="F6" t="s">
        <v>45</v>
      </c>
      <c r="G6" t="s">
        <v>18</v>
      </c>
      <c r="H6" t="s">
        <v>46</v>
      </c>
      <c r="I6" t="s">
        <v>47</v>
      </c>
      <c r="J6" t="s">
        <v>48</v>
      </c>
      <c r="K6">
        <v>1</v>
      </c>
      <c r="L6" s="4">
        <v>213</v>
      </c>
      <c r="M6" s="10">
        <f t="shared" si="0"/>
        <v>213</v>
      </c>
    </row>
    <row r="7" spans="1:13">
      <c r="A7" t="s">
        <v>49</v>
      </c>
      <c r="B7" s="9">
        <v>45724</v>
      </c>
      <c r="C7" t="s">
        <v>50</v>
      </c>
      <c r="D7" t="s">
        <v>15</v>
      </c>
      <c r="E7" t="s">
        <v>51</v>
      </c>
      <c r="F7" t="s">
        <v>45</v>
      </c>
      <c r="G7" t="s">
        <v>52</v>
      </c>
      <c r="H7" t="s">
        <v>19</v>
      </c>
      <c r="I7" t="s">
        <v>20</v>
      </c>
      <c r="J7" t="s">
        <v>53</v>
      </c>
      <c r="K7">
        <v>1</v>
      </c>
      <c r="L7" s="4">
        <v>990</v>
      </c>
      <c r="M7" s="10">
        <f t="shared" si="0"/>
        <v>990</v>
      </c>
    </row>
    <row r="8" spans="1:13">
      <c r="A8" t="s">
        <v>54</v>
      </c>
      <c r="B8" s="9">
        <v>45861</v>
      </c>
      <c r="C8" t="s">
        <v>55</v>
      </c>
      <c r="D8" t="s">
        <v>24</v>
      </c>
      <c r="E8" t="s">
        <v>56</v>
      </c>
      <c r="F8" t="s">
        <v>57</v>
      </c>
      <c r="G8" t="s">
        <v>27</v>
      </c>
      <c r="H8" t="s">
        <v>58</v>
      </c>
      <c r="I8" t="s">
        <v>59</v>
      </c>
      <c r="J8" t="s">
        <v>60</v>
      </c>
      <c r="K8">
        <v>2</v>
      </c>
      <c r="L8" s="4">
        <v>1449</v>
      </c>
      <c r="M8" s="10">
        <f t="shared" si="0"/>
        <v>2898</v>
      </c>
    </row>
    <row r="9" spans="1:13">
      <c r="A9" t="s">
        <v>61</v>
      </c>
      <c r="B9" s="9">
        <v>45826</v>
      </c>
      <c r="C9" t="s">
        <v>55</v>
      </c>
      <c r="D9" t="s">
        <v>43</v>
      </c>
      <c r="E9" t="s">
        <v>44</v>
      </c>
      <c r="F9" t="s">
        <v>45</v>
      </c>
      <c r="G9" t="s">
        <v>18</v>
      </c>
      <c r="H9" t="s">
        <v>28</v>
      </c>
      <c r="I9" t="s">
        <v>62</v>
      </c>
      <c r="J9" t="s">
        <v>63</v>
      </c>
      <c r="K9">
        <v>5</v>
      </c>
      <c r="L9" s="4">
        <v>18422</v>
      </c>
      <c r="M9" s="10">
        <f t="shared" si="0"/>
        <v>92110</v>
      </c>
    </row>
    <row r="10" spans="1:13">
      <c r="A10" t="s">
        <v>64</v>
      </c>
      <c r="B10" s="9">
        <v>45805</v>
      </c>
      <c r="C10" t="s">
        <v>65</v>
      </c>
      <c r="D10" t="s">
        <v>24</v>
      </c>
      <c r="E10" t="s">
        <v>56</v>
      </c>
      <c r="F10" t="s">
        <v>57</v>
      </c>
      <c r="G10" t="s">
        <v>52</v>
      </c>
      <c r="H10" t="s">
        <v>19</v>
      </c>
      <c r="I10" t="s">
        <v>59</v>
      </c>
      <c r="J10" t="s">
        <v>66</v>
      </c>
      <c r="K10">
        <v>2</v>
      </c>
      <c r="L10" s="4">
        <v>859</v>
      </c>
      <c r="M10" s="10">
        <f t="shared" si="0"/>
        <v>1718</v>
      </c>
    </row>
    <row r="11" spans="1:13">
      <c r="A11" t="s">
        <v>67</v>
      </c>
      <c r="B11" s="9">
        <v>45882</v>
      </c>
      <c r="C11" t="s">
        <v>68</v>
      </c>
      <c r="D11" t="s">
        <v>43</v>
      </c>
      <c r="E11" t="s">
        <v>69</v>
      </c>
      <c r="F11" t="s">
        <v>45</v>
      </c>
      <c r="G11" t="s">
        <v>18</v>
      </c>
      <c r="H11" t="s">
        <v>28</v>
      </c>
      <c r="I11" t="s">
        <v>29</v>
      </c>
      <c r="J11" t="s">
        <v>30</v>
      </c>
      <c r="K11">
        <v>2</v>
      </c>
      <c r="L11" s="4">
        <v>7121</v>
      </c>
      <c r="M11" s="10">
        <f t="shared" si="0"/>
        <v>14242</v>
      </c>
    </row>
    <row r="12" spans="1:13">
      <c r="A12" t="s">
        <v>70</v>
      </c>
      <c r="B12" s="9">
        <v>45899</v>
      </c>
      <c r="C12" t="s">
        <v>71</v>
      </c>
      <c r="D12" t="s">
        <v>15</v>
      </c>
      <c r="E12" t="s">
        <v>33</v>
      </c>
      <c r="F12" t="s">
        <v>34</v>
      </c>
      <c r="G12" t="s">
        <v>72</v>
      </c>
      <c r="H12" t="s">
        <v>46</v>
      </c>
      <c r="I12" t="s">
        <v>62</v>
      </c>
      <c r="J12" t="s">
        <v>73</v>
      </c>
      <c r="K12">
        <v>5</v>
      </c>
      <c r="L12" s="4">
        <v>22182</v>
      </c>
      <c r="M12" s="10">
        <f t="shared" si="0"/>
        <v>110910</v>
      </c>
    </row>
    <row r="13" spans="1:13">
      <c r="A13" t="s">
        <v>74</v>
      </c>
      <c r="B13" s="9">
        <v>45941</v>
      </c>
      <c r="C13" t="s">
        <v>68</v>
      </c>
      <c r="D13" t="s">
        <v>43</v>
      </c>
      <c r="E13" t="s">
        <v>16</v>
      </c>
      <c r="F13" t="s">
        <v>17</v>
      </c>
      <c r="G13" t="s">
        <v>52</v>
      </c>
      <c r="H13" t="s">
        <v>19</v>
      </c>
      <c r="I13" t="s">
        <v>20</v>
      </c>
      <c r="J13" t="s">
        <v>35</v>
      </c>
      <c r="K13">
        <v>2</v>
      </c>
      <c r="L13" s="4">
        <v>1958</v>
      </c>
      <c r="M13" s="10">
        <f t="shared" si="0"/>
        <v>3916</v>
      </c>
    </row>
    <row r="14" spans="1:13">
      <c r="A14" t="s">
        <v>75</v>
      </c>
      <c r="B14" s="9">
        <v>45840</v>
      </c>
      <c r="C14" t="s">
        <v>76</v>
      </c>
      <c r="D14" t="s">
        <v>15</v>
      </c>
      <c r="E14" t="s">
        <v>44</v>
      </c>
      <c r="F14" t="s">
        <v>45</v>
      </c>
      <c r="G14" t="s">
        <v>27</v>
      </c>
      <c r="H14" t="s">
        <v>46</v>
      </c>
      <c r="I14" t="s">
        <v>47</v>
      </c>
      <c r="J14" t="s">
        <v>77</v>
      </c>
      <c r="K14">
        <v>3</v>
      </c>
      <c r="L14" s="4">
        <v>484</v>
      </c>
      <c r="M14" s="10">
        <f t="shared" si="0"/>
        <v>1452</v>
      </c>
    </row>
    <row r="15" spans="1:13">
      <c r="A15" t="s">
        <v>78</v>
      </c>
      <c r="B15" s="9">
        <v>45869</v>
      </c>
      <c r="C15" t="s">
        <v>71</v>
      </c>
      <c r="D15" t="s">
        <v>43</v>
      </c>
      <c r="E15" t="s">
        <v>57</v>
      </c>
      <c r="F15" t="s">
        <v>57</v>
      </c>
      <c r="G15" t="s">
        <v>18</v>
      </c>
      <c r="H15" t="s">
        <v>28</v>
      </c>
      <c r="I15" t="s">
        <v>79</v>
      </c>
      <c r="J15" t="s">
        <v>80</v>
      </c>
      <c r="K15">
        <v>2</v>
      </c>
      <c r="L15" s="4">
        <v>1806</v>
      </c>
      <c r="M15" s="10">
        <f t="shared" si="0"/>
        <v>3612</v>
      </c>
    </row>
    <row r="16" spans="1:13">
      <c r="A16" t="s">
        <v>81</v>
      </c>
      <c r="B16" s="9">
        <v>45979</v>
      </c>
      <c r="C16" t="s">
        <v>82</v>
      </c>
      <c r="D16" t="s">
        <v>15</v>
      </c>
      <c r="E16" t="s">
        <v>16</v>
      </c>
      <c r="F16" t="s">
        <v>17</v>
      </c>
      <c r="G16" t="s">
        <v>27</v>
      </c>
      <c r="H16" t="s">
        <v>46</v>
      </c>
      <c r="I16" t="s">
        <v>59</v>
      </c>
      <c r="J16" t="s">
        <v>60</v>
      </c>
      <c r="K16">
        <v>5</v>
      </c>
      <c r="L16" s="4">
        <v>536</v>
      </c>
      <c r="M16" s="10">
        <f t="shared" si="0"/>
        <v>2680</v>
      </c>
    </row>
    <row r="17" spans="1:13">
      <c r="A17" t="s">
        <v>83</v>
      </c>
      <c r="B17" s="9">
        <v>45724</v>
      </c>
      <c r="C17" t="s">
        <v>32</v>
      </c>
      <c r="D17" t="s">
        <v>24</v>
      </c>
      <c r="E17" t="s">
        <v>84</v>
      </c>
      <c r="F17" t="s">
        <v>26</v>
      </c>
      <c r="G17" t="s">
        <v>27</v>
      </c>
      <c r="H17" t="s">
        <v>19</v>
      </c>
      <c r="I17" t="s">
        <v>62</v>
      </c>
      <c r="J17" t="s">
        <v>73</v>
      </c>
      <c r="K17">
        <v>5</v>
      </c>
      <c r="L17" s="4">
        <v>8841</v>
      </c>
      <c r="M17" s="10">
        <f t="shared" si="0"/>
        <v>44205</v>
      </c>
    </row>
    <row r="18" spans="1:13">
      <c r="A18" t="s">
        <v>85</v>
      </c>
      <c r="B18" s="9">
        <v>45992</v>
      </c>
      <c r="C18" t="s">
        <v>86</v>
      </c>
      <c r="D18" t="s">
        <v>43</v>
      </c>
      <c r="E18" t="s">
        <v>57</v>
      </c>
      <c r="F18" t="s">
        <v>57</v>
      </c>
      <c r="G18" t="s">
        <v>18</v>
      </c>
      <c r="H18" t="s">
        <v>46</v>
      </c>
      <c r="I18" t="s">
        <v>62</v>
      </c>
      <c r="J18" t="s">
        <v>87</v>
      </c>
      <c r="K18">
        <v>3</v>
      </c>
      <c r="L18" s="4">
        <v>17394</v>
      </c>
      <c r="M18" s="10">
        <f t="shared" si="0"/>
        <v>52182</v>
      </c>
    </row>
    <row r="19" spans="1:13">
      <c r="A19" t="s">
        <v>88</v>
      </c>
      <c r="B19" s="9">
        <v>45896</v>
      </c>
      <c r="C19" t="s">
        <v>23</v>
      </c>
      <c r="D19" t="s">
        <v>15</v>
      </c>
      <c r="E19" t="s">
        <v>51</v>
      </c>
      <c r="F19" t="s">
        <v>45</v>
      </c>
      <c r="G19" t="s">
        <v>27</v>
      </c>
      <c r="H19" t="s">
        <v>28</v>
      </c>
      <c r="I19" t="s">
        <v>79</v>
      </c>
      <c r="J19" t="s">
        <v>89</v>
      </c>
      <c r="K19">
        <v>1</v>
      </c>
      <c r="L19" s="4">
        <v>4190</v>
      </c>
      <c r="M19" s="10">
        <f t="shared" si="0"/>
        <v>4190</v>
      </c>
    </row>
    <row r="20" spans="1:13">
      <c r="A20" t="s">
        <v>90</v>
      </c>
      <c r="B20" s="9">
        <v>45847</v>
      </c>
      <c r="C20" t="s">
        <v>91</v>
      </c>
      <c r="D20" t="s">
        <v>15</v>
      </c>
      <c r="E20" t="s">
        <v>33</v>
      </c>
      <c r="F20" t="s">
        <v>34</v>
      </c>
      <c r="G20" t="s">
        <v>27</v>
      </c>
      <c r="H20" t="s">
        <v>46</v>
      </c>
      <c r="I20" t="s">
        <v>29</v>
      </c>
      <c r="J20" t="s">
        <v>92</v>
      </c>
      <c r="K20">
        <v>4</v>
      </c>
      <c r="L20" s="4">
        <v>932</v>
      </c>
      <c r="M20" s="10">
        <f t="shared" si="0"/>
        <v>3728</v>
      </c>
    </row>
    <row r="21" spans="1:13">
      <c r="A21" t="s">
        <v>93</v>
      </c>
      <c r="B21" s="9">
        <v>45707</v>
      </c>
      <c r="C21" t="s">
        <v>94</v>
      </c>
      <c r="D21" t="s">
        <v>15</v>
      </c>
      <c r="E21" t="s">
        <v>51</v>
      </c>
      <c r="F21" t="s">
        <v>45</v>
      </c>
      <c r="G21" t="s">
        <v>27</v>
      </c>
      <c r="H21" t="s">
        <v>28</v>
      </c>
      <c r="I21" t="s">
        <v>29</v>
      </c>
      <c r="J21" t="s">
        <v>92</v>
      </c>
      <c r="K21">
        <v>1</v>
      </c>
      <c r="L21" s="4">
        <v>1588</v>
      </c>
      <c r="M21" s="10">
        <f t="shared" si="0"/>
        <v>1588</v>
      </c>
    </row>
    <row r="22" spans="1:13">
      <c r="A22" t="s">
        <v>95</v>
      </c>
      <c r="B22" s="9">
        <v>45892</v>
      </c>
      <c r="C22" t="s">
        <v>96</v>
      </c>
      <c r="D22" t="s">
        <v>43</v>
      </c>
      <c r="E22" t="s">
        <v>97</v>
      </c>
      <c r="F22" t="s">
        <v>34</v>
      </c>
      <c r="G22" t="s">
        <v>27</v>
      </c>
      <c r="H22" t="s">
        <v>28</v>
      </c>
      <c r="I22" t="s">
        <v>47</v>
      </c>
      <c r="J22" t="s">
        <v>48</v>
      </c>
      <c r="K22">
        <v>5</v>
      </c>
      <c r="L22" s="4">
        <v>246</v>
      </c>
      <c r="M22" s="10">
        <f t="shared" si="0"/>
        <v>1230</v>
      </c>
    </row>
    <row r="23" spans="1:13">
      <c r="A23" t="s">
        <v>98</v>
      </c>
      <c r="B23" s="9">
        <v>45881</v>
      </c>
      <c r="C23" t="s">
        <v>99</v>
      </c>
      <c r="D23" t="s">
        <v>24</v>
      </c>
      <c r="E23" t="s">
        <v>97</v>
      </c>
      <c r="F23" t="s">
        <v>34</v>
      </c>
      <c r="G23" t="s">
        <v>72</v>
      </c>
      <c r="H23" t="s">
        <v>46</v>
      </c>
      <c r="I23" t="s">
        <v>29</v>
      </c>
      <c r="J23" t="s">
        <v>100</v>
      </c>
      <c r="K23">
        <v>3</v>
      </c>
      <c r="L23" s="4">
        <v>5289</v>
      </c>
      <c r="M23" s="10">
        <f t="shared" si="0"/>
        <v>15867</v>
      </c>
    </row>
    <row r="24" spans="1:13">
      <c r="A24" t="s">
        <v>101</v>
      </c>
      <c r="B24" s="9">
        <v>46012</v>
      </c>
      <c r="C24" t="s">
        <v>102</v>
      </c>
      <c r="D24" t="s">
        <v>15</v>
      </c>
      <c r="E24" t="s">
        <v>38</v>
      </c>
      <c r="F24" t="s">
        <v>34</v>
      </c>
      <c r="G24" t="s">
        <v>27</v>
      </c>
      <c r="H24" t="s">
        <v>19</v>
      </c>
      <c r="I24" t="s">
        <v>47</v>
      </c>
      <c r="J24" t="s">
        <v>103</v>
      </c>
      <c r="K24">
        <v>3</v>
      </c>
      <c r="L24" s="4">
        <v>463</v>
      </c>
      <c r="M24" s="10">
        <f t="shared" si="0"/>
        <v>1389</v>
      </c>
    </row>
    <row r="25" spans="1:13">
      <c r="A25" t="s">
        <v>104</v>
      </c>
      <c r="B25" s="9">
        <v>45822</v>
      </c>
      <c r="C25" t="s">
        <v>23</v>
      </c>
      <c r="D25" t="s">
        <v>24</v>
      </c>
      <c r="E25" t="s">
        <v>105</v>
      </c>
      <c r="F25" t="s">
        <v>45</v>
      </c>
      <c r="G25" t="s">
        <v>18</v>
      </c>
      <c r="H25" t="s">
        <v>58</v>
      </c>
      <c r="I25" t="s">
        <v>106</v>
      </c>
      <c r="J25" t="s">
        <v>107</v>
      </c>
      <c r="K25">
        <v>3</v>
      </c>
      <c r="L25" s="4">
        <v>872</v>
      </c>
      <c r="M25" s="10">
        <f t="shared" si="0"/>
        <v>2616</v>
      </c>
    </row>
    <row r="26" spans="1:13">
      <c r="A26" t="s">
        <v>108</v>
      </c>
      <c r="B26" s="9">
        <v>45658</v>
      </c>
      <c r="C26" t="s">
        <v>68</v>
      </c>
      <c r="D26" t="s">
        <v>24</v>
      </c>
      <c r="E26" t="s">
        <v>38</v>
      </c>
      <c r="F26" t="s">
        <v>34</v>
      </c>
      <c r="G26" t="s">
        <v>27</v>
      </c>
      <c r="H26" t="s">
        <v>46</v>
      </c>
      <c r="I26" t="s">
        <v>106</v>
      </c>
      <c r="J26" t="s">
        <v>107</v>
      </c>
      <c r="K26">
        <v>1</v>
      </c>
      <c r="L26" s="4">
        <v>1614</v>
      </c>
      <c r="M26" s="10">
        <f t="shared" si="0"/>
        <v>1614</v>
      </c>
    </row>
    <row r="27" spans="1:13">
      <c r="A27" t="s">
        <v>109</v>
      </c>
      <c r="B27" s="9">
        <v>45826</v>
      </c>
      <c r="C27" t="s">
        <v>110</v>
      </c>
      <c r="D27" t="s">
        <v>43</v>
      </c>
      <c r="E27" t="s">
        <v>111</v>
      </c>
      <c r="F27" t="s">
        <v>26</v>
      </c>
      <c r="G27" t="s">
        <v>18</v>
      </c>
      <c r="H27" t="s">
        <v>19</v>
      </c>
      <c r="I27" t="s">
        <v>59</v>
      </c>
      <c r="J27" t="s">
        <v>112</v>
      </c>
      <c r="K27">
        <v>4</v>
      </c>
      <c r="L27" s="4">
        <v>1280</v>
      </c>
      <c r="M27" s="10">
        <f t="shared" si="0"/>
        <v>5120</v>
      </c>
    </row>
    <row r="28" spans="1:13">
      <c r="A28" t="s">
        <v>113</v>
      </c>
      <c r="B28" s="9">
        <v>45841</v>
      </c>
      <c r="C28" t="s">
        <v>114</v>
      </c>
      <c r="D28" t="s">
        <v>15</v>
      </c>
      <c r="E28" t="s">
        <v>56</v>
      </c>
      <c r="F28" t="s">
        <v>57</v>
      </c>
      <c r="G28" t="s">
        <v>52</v>
      </c>
      <c r="H28" t="s">
        <v>46</v>
      </c>
      <c r="I28" t="s">
        <v>59</v>
      </c>
      <c r="J28" t="s">
        <v>112</v>
      </c>
      <c r="K28">
        <v>1</v>
      </c>
      <c r="L28" s="4">
        <v>628</v>
      </c>
      <c r="M28" s="10">
        <f t="shared" si="0"/>
        <v>628</v>
      </c>
    </row>
    <row r="29" spans="1:13">
      <c r="A29" t="s">
        <v>115</v>
      </c>
      <c r="B29" s="9">
        <v>45706</v>
      </c>
      <c r="C29" t="s">
        <v>91</v>
      </c>
      <c r="D29" t="s">
        <v>15</v>
      </c>
      <c r="E29" t="s">
        <v>57</v>
      </c>
      <c r="F29" t="s">
        <v>57</v>
      </c>
      <c r="G29" t="s">
        <v>27</v>
      </c>
      <c r="H29" t="s">
        <v>28</v>
      </c>
      <c r="I29" t="s">
        <v>20</v>
      </c>
      <c r="J29" t="s">
        <v>53</v>
      </c>
      <c r="K29">
        <v>5</v>
      </c>
      <c r="L29" s="4">
        <v>2503</v>
      </c>
      <c r="M29" s="10">
        <f t="shared" si="0"/>
        <v>12515</v>
      </c>
    </row>
    <row r="30" spans="1:13">
      <c r="A30" t="s">
        <v>116</v>
      </c>
      <c r="B30" s="9">
        <v>45803</v>
      </c>
      <c r="C30" t="s">
        <v>65</v>
      </c>
      <c r="D30" t="s">
        <v>15</v>
      </c>
      <c r="E30" t="s">
        <v>44</v>
      </c>
      <c r="F30" t="s">
        <v>45</v>
      </c>
      <c r="G30" t="s">
        <v>18</v>
      </c>
      <c r="H30" t="s">
        <v>46</v>
      </c>
      <c r="I30" t="s">
        <v>62</v>
      </c>
      <c r="J30" t="s">
        <v>63</v>
      </c>
      <c r="K30">
        <v>4</v>
      </c>
      <c r="L30" s="4">
        <v>3712</v>
      </c>
      <c r="M30" s="10">
        <f t="shared" si="0"/>
        <v>14848</v>
      </c>
    </row>
    <row r="31" spans="1:13">
      <c r="A31" t="s">
        <v>117</v>
      </c>
      <c r="B31" s="9">
        <v>45851</v>
      </c>
      <c r="C31" t="s">
        <v>118</v>
      </c>
      <c r="D31" t="s">
        <v>24</v>
      </c>
      <c r="E31" t="s">
        <v>69</v>
      </c>
      <c r="F31" t="s">
        <v>45</v>
      </c>
      <c r="G31" t="s">
        <v>52</v>
      </c>
      <c r="H31" t="s">
        <v>46</v>
      </c>
      <c r="I31" t="s">
        <v>59</v>
      </c>
      <c r="J31" t="s">
        <v>60</v>
      </c>
      <c r="K31">
        <v>3</v>
      </c>
      <c r="L31" s="4">
        <v>1302</v>
      </c>
      <c r="M31" s="10">
        <f t="shared" si="0"/>
        <v>3906</v>
      </c>
    </row>
    <row r="32" spans="1:13">
      <c r="A32" t="s">
        <v>119</v>
      </c>
      <c r="B32" s="9">
        <v>45947</v>
      </c>
      <c r="C32" t="s">
        <v>94</v>
      </c>
      <c r="D32" t="s">
        <v>43</v>
      </c>
      <c r="E32" t="s">
        <v>44</v>
      </c>
      <c r="F32" t="s">
        <v>45</v>
      </c>
      <c r="G32" t="s">
        <v>27</v>
      </c>
      <c r="H32" t="s">
        <v>28</v>
      </c>
      <c r="I32" t="s">
        <v>39</v>
      </c>
      <c r="J32" t="s">
        <v>120</v>
      </c>
      <c r="K32">
        <v>5</v>
      </c>
      <c r="L32" s="4">
        <v>108</v>
      </c>
      <c r="M32" s="10">
        <f t="shared" si="0"/>
        <v>540</v>
      </c>
    </row>
    <row r="33" spans="1:13">
      <c r="A33" t="s">
        <v>121</v>
      </c>
      <c r="B33" s="9">
        <v>45917</v>
      </c>
      <c r="C33" t="s">
        <v>122</v>
      </c>
      <c r="D33" t="s">
        <v>43</v>
      </c>
      <c r="E33" t="s">
        <v>44</v>
      </c>
      <c r="F33" t="s">
        <v>45</v>
      </c>
      <c r="G33" t="s">
        <v>27</v>
      </c>
      <c r="H33" t="s">
        <v>19</v>
      </c>
      <c r="I33" t="s">
        <v>20</v>
      </c>
      <c r="J33" t="s">
        <v>123</v>
      </c>
      <c r="K33">
        <v>5</v>
      </c>
      <c r="L33" s="4">
        <v>1177</v>
      </c>
      <c r="M33" s="10">
        <f t="shared" si="0"/>
        <v>5885</v>
      </c>
    </row>
    <row r="34" spans="1:13">
      <c r="A34" t="s">
        <v>124</v>
      </c>
      <c r="B34" s="9">
        <v>45867</v>
      </c>
      <c r="C34" t="s">
        <v>110</v>
      </c>
      <c r="D34" t="s">
        <v>43</v>
      </c>
      <c r="E34" t="s">
        <v>57</v>
      </c>
      <c r="F34" t="s">
        <v>57</v>
      </c>
      <c r="G34" t="s">
        <v>72</v>
      </c>
      <c r="H34" t="s">
        <v>28</v>
      </c>
      <c r="I34" t="s">
        <v>39</v>
      </c>
      <c r="J34" t="s">
        <v>125</v>
      </c>
      <c r="K34">
        <v>1</v>
      </c>
      <c r="L34" s="4">
        <v>440</v>
      </c>
      <c r="M34" s="10">
        <f t="shared" si="0"/>
        <v>440</v>
      </c>
    </row>
    <row r="35" spans="1:13">
      <c r="A35" t="s">
        <v>126</v>
      </c>
      <c r="B35" s="9">
        <v>45706</v>
      </c>
      <c r="C35" t="s">
        <v>86</v>
      </c>
      <c r="D35" t="s">
        <v>24</v>
      </c>
      <c r="E35" t="s">
        <v>51</v>
      </c>
      <c r="F35" t="s">
        <v>45</v>
      </c>
      <c r="G35" t="s">
        <v>18</v>
      </c>
      <c r="H35" t="s">
        <v>46</v>
      </c>
      <c r="I35" t="s">
        <v>47</v>
      </c>
      <c r="J35" t="s">
        <v>103</v>
      </c>
      <c r="K35">
        <v>1</v>
      </c>
      <c r="L35" s="4">
        <v>160</v>
      </c>
      <c r="M35" s="10">
        <f t="shared" si="0"/>
        <v>160</v>
      </c>
    </row>
    <row r="36" spans="1:13">
      <c r="A36" t="s">
        <v>127</v>
      </c>
      <c r="B36" s="9">
        <v>45929</v>
      </c>
      <c r="C36" t="s">
        <v>96</v>
      </c>
      <c r="D36" t="s">
        <v>15</v>
      </c>
      <c r="E36" t="s">
        <v>16</v>
      </c>
      <c r="F36" t="s">
        <v>17</v>
      </c>
      <c r="G36" t="s">
        <v>27</v>
      </c>
      <c r="H36" t="s">
        <v>46</v>
      </c>
      <c r="I36" t="s">
        <v>59</v>
      </c>
      <c r="J36" t="s">
        <v>112</v>
      </c>
      <c r="K36">
        <v>2</v>
      </c>
      <c r="L36" s="4">
        <v>1492</v>
      </c>
      <c r="M36" s="10">
        <f t="shared" si="0"/>
        <v>2984</v>
      </c>
    </row>
    <row r="37" spans="1:13">
      <c r="A37" t="s">
        <v>128</v>
      </c>
      <c r="B37" s="9">
        <v>45833</v>
      </c>
      <c r="C37" t="s">
        <v>129</v>
      </c>
      <c r="D37" t="s">
        <v>24</v>
      </c>
      <c r="E37" t="s">
        <v>57</v>
      </c>
      <c r="F37" t="s">
        <v>57</v>
      </c>
      <c r="G37" t="s">
        <v>18</v>
      </c>
      <c r="H37" t="s">
        <v>19</v>
      </c>
      <c r="I37" t="s">
        <v>59</v>
      </c>
      <c r="J37" t="s">
        <v>130</v>
      </c>
      <c r="K37">
        <v>5</v>
      </c>
      <c r="L37" s="4">
        <v>541</v>
      </c>
      <c r="M37" s="10">
        <f t="shared" si="0"/>
        <v>2705</v>
      </c>
    </row>
    <row r="38" spans="1:13">
      <c r="A38" t="s">
        <v>131</v>
      </c>
      <c r="B38" s="9">
        <v>45745</v>
      </c>
      <c r="C38" t="s">
        <v>132</v>
      </c>
      <c r="D38" t="s">
        <v>43</v>
      </c>
      <c r="E38" t="s">
        <v>105</v>
      </c>
      <c r="F38" t="s">
        <v>45</v>
      </c>
      <c r="G38" t="s">
        <v>18</v>
      </c>
      <c r="H38" t="s">
        <v>19</v>
      </c>
      <c r="I38" t="s">
        <v>106</v>
      </c>
      <c r="J38" t="s">
        <v>133</v>
      </c>
      <c r="K38">
        <v>4</v>
      </c>
      <c r="L38" s="4">
        <v>1791</v>
      </c>
      <c r="M38" s="10">
        <f t="shared" si="0"/>
        <v>7164</v>
      </c>
    </row>
    <row r="39" spans="1:13">
      <c r="A39" t="s">
        <v>134</v>
      </c>
      <c r="B39" s="9">
        <v>45749</v>
      </c>
      <c r="C39" t="s">
        <v>135</v>
      </c>
      <c r="D39" t="s">
        <v>15</v>
      </c>
      <c r="E39" t="s">
        <v>84</v>
      </c>
      <c r="F39" t="s">
        <v>26</v>
      </c>
      <c r="G39" t="s">
        <v>27</v>
      </c>
      <c r="H39" t="s">
        <v>58</v>
      </c>
      <c r="I39" t="s">
        <v>39</v>
      </c>
      <c r="J39" t="s">
        <v>125</v>
      </c>
      <c r="K39">
        <v>4</v>
      </c>
      <c r="L39" s="4">
        <v>149</v>
      </c>
      <c r="M39" s="10">
        <f t="shared" si="0"/>
        <v>596</v>
      </c>
    </row>
    <row r="40" spans="1:13">
      <c r="A40" t="s">
        <v>136</v>
      </c>
      <c r="B40" s="9">
        <v>45791</v>
      </c>
      <c r="C40" t="s">
        <v>137</v>
      </c>
      <c r="D40" t="s">
        <v>15</v>
      </c>
      <c r="E40" t="s">
        <v>56</v>
      </c>
      <c r="F40" t="s">
        <v>57</v>
      </c>
      <c r="G40" t="s">
        <v>27</v>
      </c>
      <c r="H40" t="s">
        <v>46</v>
      </c>
      <c r="I40" t="s">
        <v>79</v>
      </c>
      <c r="J40" t="s">
        <v>138</v>
      </c>
      <c r="K40">
        <v>4</v>
      </c>
      <c r="L40" s="4">
        <v>1135</v>
      </c>
      <c r="M40" s="10">
        <f t="shared" si="0"/>
        <v>4540</v>
      </c>
    </row>
    <row r="41" spans="1:13">
      <c r="A41" t="s">
        <v>139</v>
      </c>
      <c r="B41" s="9">
        <v>45886</v>
      </c>
      <c r="C41" t="s">
        <v>140</v>
      </c>
      <c r="D41" t="s">
        <v>15</v>
      </c>
      <c r="E41" t="s">
        <v>44</v>
      </c>
      <c r="F41" t="s">
        <v>45</v>
      </c>
      <c r="G41" t="s">
        <v>52</v>
      </c>
      <c r="H41" t="s">
        <v>28</v>
      </c>
      <c r="I41" t="s">
        <v>79</v>
      </c>
      <c r="J41" t="s">
        <v>138</v>
      </c>
      <c r="K41">
        <v>3</v>
      </c>
      <c r="L41" s="4">
        <v>3434</v>
      </c>
      <c r="M41" s="10">
        <f t="shared" si="0"/>
        <v>10302</v>
      </c>
    </row>
    <row r="42" spans="1:13">
      <c r="A42" t="s">
        <v>141</v>
      </c>
      <c r="B42" s="9">
        <v>45698</v>
      </c>
      <c r="C42" t="s">
        <v>137</v>
      </c>
      <c r="D42" t="s">
        <v>43</v>
      </c>
      <c r="E42" t="s">
        <v>17</v>
      </c>
      <c r="F42" t="s">
        <v>17</v>
      </c>
      <c r="G42" t="s">
        <v>27</v>
      </c>
      <c r="H42" t="s">
        <v>46</v>
      </c>
      <c r="I42" t="s">
        <v>106</v>
      </c>
      <c r="J42" t="s">
        <v>133</v>
      </c>
      <c r="K42">
        <v>3</v>
      </c>
      <c r="L42" s="4">
        <v>1665</v>
      </c>
      <c r="M42" s="10">
        <f t="shared" si="0"/>
        <v>4995</v>
      </c>
    </row>
    <row r="43" spans="1:13">
      <c r="A43" t="s">
        <v>142</v>
      </c>
      <c r="B43" s="9">
        <v>45698</v>
      </c>
      <c r="C43" t="s">
        <v>82</v>
      </c>
      <c r="D43" t="s">
        <v>15</v>
      </c>
      <c r="E43" t="s">
        <v>25</v>
      </c>
      <c r="F43" t="s">
        <v>26</v>
      </c>
      <c r="G43" t="s">
        <v>52</v>
      </c>
      <c r="H43" t="s">
        <v>28</v>
      </c>
      <c r="I43" t="s">
        <v>79</v>
      </c>
      <c r="J43" t="s">
        <v>89</v>
      </c>
      <c r="K43">
        <v>2</v>
      </c>
      <c r="L43" s="4">
        <v>3366</v>
      </c>
      <c r="M43" s="10">
        <f t="shared" si="0"/>
        <v>6732</v>
      </c>
    </row>
    <row r="44" spans="1:13">
      <c r="A44" t="s">
        <v>143</v>
      </c>
      <c r="B44" s="9">
        <v>45831</v>
      </c>
      <c r="C44" t="s">
        <v>23</v>
      </c>
      <c r="D44" t="s">
        <v>15</v>
      </c>
      <c r="E44" t="s">
        <v>84</v>
      </c>
      <c r="F44" t="s">
        <v>26</v>
      </c>
      <c r="G44" t="s">
        <v>18</v>
      </c>
      <c r="H44" t="s">
        <v>58</v>
      </c>
      <c r="I44" t="s">
        <v>29</v>
      </c>
      <c r="J44" t="s">
        <v>92</v>
      </c>
      <c r="K44">
        <v>4</v>
      </c>
      <c r="L44" s="4">
        <v>2311</v>
      </c>
      <c r="M44" s="10">
        <f t="shared" si="0"/>
        <v>9244</v>
      </c>
    </row>
    <row r="45" spans="1:13">
      <c r="A45" t="s">
        <v>144</v>
      </c>
      <c r="B45" s="9">
        <v>45721</v>
      </c>
      <c r="C45" t="s">
        <v>145</v>
      </c>
      <c r="D45" t="s">
        <v>15</v>
      </c>
      <c r="E45" t="s">
        <v>56</v>
      </c>
      <c r="F45" t="s">
        <v>57</v>
      </c>
      <c r="G45" t="s">
        <v>18</v>
      </c>
      <c r="H45" t="s">
        <v>28</v>
      </c>
      <c r="I45" t="s">
        <v>20</v>
      </c>
      <c r="J45" t="s">
        <v>35</v>
      </c>
      <c r="K45">
        <v>2</v>
      </c>
      <c r="L45" s="4">
        <v>2689</v>
      </c>
      <c r="M45" s="10">
        <f t="shared" si="0"/>
        <v>5378</v>
      </c>
    </row>
    <row r="46" spans="1:13">
      <c r="A46" t="s">
        <v>146</v>
      </c>
      <c r="B46" s="9">
        <v>45670</v>
      </c>
      <c r="C46" t="s">
        <v>147</v>
      </c>
      <c r="D46" t="s">
        <v>15</v>
      </c>
      <c r="E46" t="s">
        <v>105</v>
      </c>
      <c r="F46" t="s">
        <v>45</v>
      </c>
      <c r="G46" t="s">
        <v>18</v>
      </c>
      <c r="H46" t="s">
        <v>28</v>
      </c>
      <c r="I46" t="s">
        <v>29</v>
      </c>
      <c r="J46" t="s">
        <v>100</v>
      </c>
      <c r="K46">
        <v>5</v>
      </c>
      <c r="L46" s="4">
        <v>6910</v>
      </c>
      <c r="M46" s="10">
        <f t="shared" si="0"/>
        <v>34550</v>
      </c>
    </row>
    <row r="47" spans="1:13">
      <c r="A47" t="s">
        <v>148</v>
      </c>
      <c r="B47" s="9">
        <v>45673</v>
      </c>
      <c r="C47" t="s">
        <v>149</v>
      </c>
      <c r="D47" t="s">
        <v>43</v>
      </c>
      <c r="E47" t="s">
        <v>105</v>
      </c>
      <c r="F47" t="s">
        <v>45</v>
      </c>
      <c r="G47" t="s">
        <v>18</v>
      </c>
      <c r="H47" t="s">
        <v>28</v>
      </c>
      <c r="I47" t="s">
        <v>59</v>
      </c>
      <c r="J47" t="s">
        <v>60</v>
      </c>
      <c r="K47">
        <v>1</v>
      </c>
      <c r="L47" s="4">
        <v>477</v>
      </c>
      <c r="M47" s="10">
        <f t="shared" si="0"/>
        <v>477</v>
      </c>
    </row>
    <row r="48" spans="1:13">
      <c r="A48" t="s">
        <v>150</v>
      </c>
      <c r="B48" s="9">
        <v>45686</v>
      </c>
      <c r="C48" t="s">
        <v>137</v>
      </c>
      <c r="D48" t="s">
        <v>15</v>
      </c>
      <c r="E48" t="s">
        <v>97</v>
      </c>
      <c r="F48" t="s">
        <v>34</v>
      </c>
      <c r="G48" t="s">
        <v>27</v>
      </c>
      <c r="H48" t="s">
        <v>46</v>
      </c>
      <c r="I48" t="s">
        <v>106</v>
      </c>
      <c r="J48" t="s">
        <v>107</v>
      </c>
      <c r="K48">
        <v>3</v>
      </c>
      <c r="L48" s="4">
        <v>1475</v>
      </c>
      <c r="M48" s="10">
        <f t="shared" si="0"/>
        <v>4425</v>
      </c>
    </row>
    <row r="49" spans="1:13">
      <c r="A49" t="s">
        <v>151</v>
      </c>
      <c r="B49" s="9">
        <v>45980</v>
      </c>
      <c r="C49" t="s">
        <v>149</v>
      </c>
      <c r="D49" t="s">
        <v>15</v>
      </c>
      <c r="E49" t="s">
        <v>16</v>
      </c>
      <c r="F49" t="s">
        <v>17</v>
      </c>
      <c r="G49" t="s">
        <v>27</v>
      </c>
      <c r="H49" t="s">
        <v>28</v>
      </c>
      <c r="I49" t="s">
        <v>59</v>
      </c>
      <c r="J49" t="s">
        <v>60</v>
      </c>
      <c r="K49">
        <v>3</v>
      </c>
      <c r="L49" s="4">
        <v>252</v>
      </c>
      <c r="M49" s="10">
        <f t="shared" si="0"/>
        <v>756</v>
      </c>
    </row>
    <row r="50" spans="1:13">
      <c r="A50" t="s">
        <v>152</v>
      </c>
      <c r="B50" s="9">
        <v>45987</v>
      </c>
      <c r="C50" t="s">
        <v>94</v>
      </c>
      <c r="D50" t="s">
        <v>24</v>
      </c>
      <c r="E50" t="s">
        <v>44</v>
      </c>
      <c r="F50" t="s">
        <v>45</v>
      </c>
      <c r="G50" t="s">
        <v>18</v>
      </c>
      <c r="H50" t="s">
        <v>46</v>
      </c>
      <c r="I50" t="s">
        <v>29</v>
      </c>
      <c r="J50" t="s">
        <v>153</v>
      </c>
      <c r="K50">
        <v>1</v>
      </c>
      <c r="L50" s="4">
        <v>526</v>
      </c>
      <c r="M50" s="10">
        <f t="shared" si="0"/>
        <v>526</v>
      </c>
    </row>
    <row r="51" spans="1:13">
      <c r="A51" t="s">
        <v>154</v>
      </c>
      <c r="B51" s="9">
        <v>45743</v>
      </c>
      <c r="C51" t="s">
        <v>110</v>
      </c>
      <c r="D51" t="s">
        <v>24</v>
      </c>
      <c r="E51" t="s">
        <v>56</v>
      </c>
      <c r="F51" t="s">
        <v>57</v>
      </c>
      <c r="G51" t="s">
        <v>72</v>
      </c>
      <c r="H51" t="s">
        <v>19</v>
      </c>
      <c r="I51" t="s">
        <v>20</v>
      </c>
      <c r="J51" t="s">
        <v>53</v>
      </c>
      <c r="K51">
        <v>2</v>
      </c>
      <c r="L51" s="4">
        <v>1334</v>
      </c>
      <c r="M51" s="10">
        <f t="shared" si="0"/>
        <v>2668</v>
      </c>
    </row>
    <row r="52" spans="1:13">
      <c r="A52" t="s">
        <v>155</v>
      </c>
      <c r="B52" s="9">
        <v>45922</v>
      </c>
      <c r="C52" t="s">
        <v>145</v>
      </c>
      <c r="D52" t="s">
        <v>15</v>
      </c>
      <c r="E52" t="s">
        <v>97</v>
      </c>
      <c r="F52" t="s">
        <v>34</v>
      </c>
      <c r="G52" t="s">
        <v>52</v>
      </c>
      <c r="H52" t="s">
        <v>58</v>
      </c>
      <c r="I52" t="s">
        <v>20</v>
      </c>
      <c r="J52" t="s">
        <v>123</v>
      </c>
      <c r="K52">
        <v>2</v>
      </c>
      <c r="L52" s="4">
        <v>266</v>
      </c>
      <c r="M52" s="10">
        <f t="shared" si="0"/>
        <v>532</v>
      </c>
    </row>
    <row r="53" spans="1:13">
      <c r="A53" t="s">
        <v>156</v>
      </c>
      <c r="B53" s="9">
        <v>45722</v>
      </c>
      <c r="C53" t="s">
        <v>102</v>
      </c>
      <c r="D53" t="s">
        <v>24</v>
      </c>
      <c r="E53" t="s">
        <v>57</v>
      </c>
      <c r="F53" t="s">
        <v>57</v>
      </c>
      <c r="G53" t="s">
        <v>27</v>
      </c>
      <c r="H53" t="s">
        <v>28</v>
      </c>
      <c r="I53" t="s">
        <v>47</v>
      </c>
      <c r="J53" t="s">
        <v>103</v>
      </c>
      <c r="K53">
        <v>5</v>
      </c>
      <c r="L53" s="4">
        <v>71</v>
      </c>
      <c r="M53" s="10">
        <f t="shared" si="0"/>
        <v>355</v>
      </c>
    </row>
    <row r="54" spans="1:13">
      <c r="A54" t="s">
        <v>157</v>
      </c>
      <c r="B54" s="9">
        <v>45674</v>
      </c>
      <c r="C54" t="s">
        <v>158</v>
      </c>
      <c r="D54" t="s">
        <v>15</v>
      </c>
      <c r="E54" t="s">
        <v>16</v>
      </c>
      <c r="F54" t="s">
        <v>17</v>
      </c>
      <c r="G54" t="s">
        <v>27</v>
      </c>
      <c r="H54" t="s">
        <v>19</v>
      </c>
      <c r="I54" t="s">
        <v>59</v>
      </c>
      <c r="J54" t="s">
        <v>60</v>
      </c>
      <c r="K54">
        <v>4</v>
      </c>
      <c r="L54" s="4">
        <v>971</v>
      </c>
      <c r="M54" s="10">
        <f t="shared" si="0"/>
        <v>3884</v>
      </c>
    </row>
    <row r="55" spans="1:13">
      <c r="A55" t="s">
        <v>159</v>
      </c>
      <c r="B55" s="9">
        <v>45964</v>
      </c>
      <c r="C55" t="s">
        <v>160</v>
      </c>
      <c r="D55" t="s">
        <v>15</v>
      </c>
      <c r="E55" t="s">
        <v>97</v>
      </c>
      <c r="F55" t="s">
        <v>34</v>
      </c>
      <c r="G55" t="s">
        <v>27</v>
      </c>
      <c r="H55" t="s">
        <v>58</v>
      </c>
      <c r="I55" t="s">
        <v>47</v>
      </c>
      <c r="J55" t="s">
        <v>103</v>
      </c>
      <c r="K55">
        <v>5</v>
      </c>
      <c r="L55" s="4">
        <v>465</v>
      </c>
      <c r="M55" s="10">
        <f t="shared" si="0"/>
        <v>2325</v>
      </c>
    </row>
    <row r="56" spans="1:13">
      <c r="A56" t="s">
        <v>161</v>
      </c>
      <c r="B56" s="9">
        <v>45805</v>
      </c>
      <c r="C56" t="s">
        <v>14</v>
      </c>
      <c r="D56" t="s">
        <v>43</v>
      </c>
      <c r="E56" t="s">
        <v>57</v>
      </c>
      <c r="F56" t="s">
        <v>57</v>
      </c>
      <c r="G56" t="s">
        <v>72</v>
      </c>
      <c r="H56" t="s">
        <v>46</v>
      </c>
      <c r="I56" t="s">
        <v>20</v>
      </c>
      <c r="J56" t="s">
        <v>35</v>
      </c>
      <c r="K56">
        <v>4</v>
      </c>
      <c r="L56" s="4">
        <v>1823</v>
      </c>
      <c r="M56" s="10">
        <f t="shared" si="0"/>
        <v>7292</v>
      </c>
    </row>
    <row r="57" spans="1:13">
      <c r="A57" t="s">
        <v>162</v>
      </c>
      <c r="B57" s="9">
        <v>45728</v>
      </c>
      <c r="C57" t="s">
        <v>91</v>
      </c>
      <c r="D57" t="s">
        <v>43</v>
      </c>
      <c r="E57" t="s">
        <v>97</v>
      </c>
      <c r="F57" t="s">
        <v>34</v>
      </c>
      <c r="G57" t="s">
        <v>27</v>
      </c>
      <c r="H57" t="s">
        <v>58</v>
      </c>
      <c r="I57" t="s">
        <v>106</v>
      </c>
      <c r="J57" t="s">
        <v>163</v>
      </c>
      <c r="K57">
        <v>4</v>
      </c>
      <c r="L57" s="4">
        <v>116</v>
      </c>
      <c r="M57" s="10">
        <f t="shared" si="0"/>
        <v>464</v>
      </c>
    </row>
    <row r="58" spans="1:13">
      <c r="A58" t="s">
        <v>164</v>
      </c>
      <c r="B58" s="9">
        <v>45844</v>
      </c>
      <c r="C58" t="s">
        <v>68</v>
      </c>
      <c r="D58" t="s">
        <v>24</v>
      </c>
      <c r="E58" t="s">
        <v>69</v>
      </c>
      <c r="F58" t="s">
        <v>45</v>
      </c>
      <c r="G58" t="s">
        <v>18</v>
      </c>
      <c r="H58" t="s">
        <v>28</v>
      </c>
      <c r="I58" t="s">
        <v>29</v>
      </c>
      <c r="J58" t="s">
        <v>100</v>
      </c>
      <c r="K58">
        <v>4</v>
      </c>
      <c r="L58" s="4">
        <v>7622</v>
      </c>
      <c r="M58" s="10">
        <f t="shared" si="0"/>
        <v>30488</v>
      </c>
    </row>
    <row r="59" spans="1:13">
      <c r="A59" t="s">
        <v>165</v>
      </c>
      <c r="B59" s="9">
        <v>45852</v>
      </c>
      <c r="C59" t="s">
        <v>91</v>
      </c>
      <c r="D59" t="s">
        <v>24</v>
      </c>
      <c r="E59" t="s">
        <v>97</v>
      </c>
      <c r="F59" t="s">
        <v>34</v>
      </c>
      <c r="G59" t="s">
        <v>27</v>
      </c>
      <c r="H59" t="s">
        <v>19</v>
      </c>
      <c r="I59" t="s">
        <v>106</v>
      </c>
      <c r="J59" t="s">
        <v>107</v>
      </c>
      <c r="K59">
        <v>3</v>
      </c>
      <c r="L59" s="4">
        <v>1908</v>
      </c>
      <c r="M59" s="10">
        <f t="shared" si="0"/>
        <v>5724</v>
      </c>
    </row>
    <row r="60" spans="1:13">
      <c r="A60" t="s">
        <v>166</v>
      </c>
      <c r="B60" s="9">
        <v>45934</v>
      </c>
      <c r="C60" t="s">
        <v>91</v>
      </c>
      <c r="D60" t="s">
        <v>24</v>
      </c>
      <c r="E60" t="s">
        <v>56</v>
      </c>
      <c r="F60" t="s">
        <v>57</v>
      </c>
      <c r="G60" t="s">
        <v>27</v>
      </c>
      <c r="H60" t="s">
        <v>28</v>
      </c>
      <c r="I60" t="s">
        <v>62</v>
      </c>
      <c r="J60" t="s">
        <v>87</v>
      </c>
      <c r="K60">
        <v>5</v>
      </c>
      <c r="L60" s="4">
        <v>22878</v>
      </c>
      <c r="M60" s="10">
        <f t="shared" si="0"/>
        <v>114390</v>
      </c>
    </row>
    <row r="61" spans="1:13">
      <c r="A61" t="s">
        <v>167</v>
      </c>
      <c r="B61" s="9">
        <v>46005</v>
      </c>
      <c r="C61" t="s">
        <v>23</v>
      </c>
      <c r="D61" t="s">
        <v>24</v>
      </c>
      <c r="E61" t="s">
        <v>44</v>
      </c>
      <c r="F61" t="s">
        <v>45</v>
      </c>
      <c r="G61" t="s">
        <v>18</v>
      </c>
      <c r="H61" t="s">
        <v>58</v>
      </c>
      <c r="I61" t="s">
        <v>106</v>
      </c>
      <c r="J61" t="s">
        <v>107</v>
      </c>
      <c r="K61">
        <v>5</v>
      </c>
      <c r="L61" s="4">
        <v>1537</v>
      </c>
      <c r="M61" s="10">
        <f t="shared" si="0"/>
        <v>7685</v>
      </c>
    </row>
    <row r="62" spans="1:13">
      <c r="A62" t="s">
        <v>168</v>
      </c>
      <c r="B62" s="9">
        <v>45992</v>
      </c>
      <c r="C62" t="s">
        <v>169</v>
      </c>
      <c r="D62" t="s">
        <v>43</v>
      </c>
      <c r="E62" t="s">
        <v>69</v>
      </c>
      <c r="F62" t="s">
        <v>45</v>
      </c>
      <c r="G62" t="s">
        <v>18</v>
      </c>
      <c r="H62" t="s">
        <v>19</v>
      </c>
      <c r="I62" t="s">
        <v>62</v>
      </c>
      <c r="J62" t="s">
        <v>87</v>
      </c>
      <c r="K62">
        <v>3</v>
      </c>
      <c r="L62" s="4">
        <v>13013</v>
      </c>
      <c r="M62" s="10">
        <f t="shared" si="0"/>
        <v>39039</v>
      </c>
    </row>
    <row r="63" spans="1:13">
      <c r="A63" t="s">
        <v>170</v>
      </c>
      <c r="B63" s="9">
        <v>45671</v>
      </c>
      <c r="C63" t="s">
        <v>99</v>
      </c>
      <c r="D63" t="s">
        <v>15</v>
      </c>
      <c r="E63" t="s">
        <v>25</v>
      </c>
      <c r="F63" t="s">
        <v>26</v>
      </c>
      <c r="G63" t="s">
        <v>18</v>
      </c>
      <c r="H63" t="s">
        <v>28</v>
      </c>
      <c r="I63" t="s">
        <v>106</v>
      </c>
      <c r="J63" t="s">
        <v>163</v>
      </c>
      <c r="K63">
        <v>2</v>
      </c>
      <c r="L63" s="4">
        <v>286</v>
      </c>
      <c r="M63" s="10">
        <f t="shared" si="0"/>
        <v>572</v>
      </c>
    </row>
    <row r="64" spans="1:13">
      <c r="A64" t="s">
        <v>171</v>
      </c>
      <c r="B64" s="9">
        <v>45661</v>
      </c>
      <c r="C64" t="s">
        <v>76</v>
      </c>
      <c r="D64" t="s">
        <v>24</v>
      </c>
      <c r="E64" t="s">
        <v>69</v>
      </c>
      <c r="F64" t="s">
        <v>45</v>
      </c>
      <c r="G64" t="s">
        <v>52</v>
      </c>
      <c r="H64" t="s">
        <v>46</v>
      </c>
      <c r="I64" t="s">
        <v>47</v>
      </c>
      <c r="J64" t="s">
        <v>172</v>
      </c>
      <c r="K64">
        <v>5</v>
      </c>
      <c r="L64" s="4">
        <v>147</v>
      </c>
      <c r="M64" s="10">
        <f t="shared" si="0"/>
        <v>735</v>
      </c>
    </row>
    <row r="65" spans="1:13">
      <c r="A65" t="s">
        <v>173</v>
      </c>
      <c r="B65" s="9">
        <v>45823</v>
      </c>
      <c r="C65" t="s">
        <v>174</v>
      </c>
      <c r="D65" t="s">
        <v>15</v>
      </c>
      <c r="E65" t="s">
        <v>44</v>
      </c>
      <c r="F65" t="s">
        <v>45</v>
      </c>
      <c r="G65" t="s">
        <v>18</v>
      </c>
      <c r="H65" t="s">
        <v>28</v>
      </c>
      <c r="I65" t="s">
        <v>106</v>
      </c>
      <c r="J65" t="s">
        <v>133</v>
      </c>
      <c r="K65">
        <v>1</v>
      </c>
      <c r="L65" s="4">
        <v>1255</v>
      </c>
      <c r="M65" s="10">
        <f t="shared" si="0"/>
        <v>1255</v>
      </c>
    </row>
    <row r="66" spans="1:13">
      <c r="A66" t="s">
        <v>175</v>
      </c>
      <c r="B66" s="9">
        <v>46014</v>
      </c>
      <c r="C66" t="s">
        <v>176</v>
      </c>
      <c r="D66" t="s">
        <v>15</v>
      </c>
      <c r="E66" t="s">
        <v>38</v>
      </c>
      <c r="F66" t="s">
        <v>34</v>
      </c>
      <c r="G66" t="s">
        <v>72</v>
      </c>
      <c r="H66" t="s">
        <v>46</v>
      </c>
      <c r="I66" t="s">
        <v>59</v>
      </c>
      <c r="J66" t="s">
        <v>130</v>
      </c>
      <c r="K66">
        <v>3</v>
      </c>
      <c r="L66" s="4">
        <v>246</v>
      </c>
      <c r="M66" s="10">
        <f t="shared" ref="M66:M129" si="1">K66*L66</f>
        <v>738</v>
      </c>
    </row>
    <row r="67" spans="1:13">
      <c r="A67" t="s">
        <v>177</v>
      </c>
      <c r="B67" s="9">
        <v>45673</v>
      </c>
      <c r="C67" t="s">
        <v>140</v>
      </c>
      <c r="D67" t="s">
        <v>24</v>
      </c>
      <c r="E67" t="s">
        <v>25</v>
      </c>
      <c r="F67" t="s">
        <v>26</v>
      </c>
      <c r="G67" t="s">
        <v>27</v>
      </c>
      <c r="H67" t="s">
        <v>28</v>
      </c>
      <c r="I67" t="s">
        <v>59</v>
      </c>
      <c r="J67" t="s">
        <v>66</v>
      </c>
      <c r="K67">
        <v>4</v>
      </c>
      <c r="L67" s="4">
        <v>811</v>
      </c>
      <c r="M67" s="10">
        <f t="shared" si="1"/>
        <v>3244</v>
      </c>
    </row>
    <row r="68" spans="1:13">
      <c r="A68" t="s">
        <v>178</v>
      </c>
      <c r="B68" s="9">
        <v>45698</v>
      </c>
      <c r="C68" t="s">
        <v>176</v>
      </c>
      <c r="D68" t="s">
        <v>43</v>
      </c>
      <c r="E68" t="s">
        <v>17</v>
      </c>
      <c r="F68" t="s">
        <v>17</v>
      </c>
      <c r="G68" t="s">
        <v>18</v>
      </c>
      <c r="H68" t="s">
        <v>46</v>
      </c>
      <c r="I68" t="s">
        <v>20</v>
      </c>
      <c r="J68" t="s">
        <v>123</v>
      </c>
      <c r="K68">
        <v>4</v>
      </c>
      <c r="L68" s="4">
        <v>593</v>
      </c>
      <c r="M68" s="10">
        <f t="shared" si="1"/>
        <v>2372</v>
      </c>
    </row>
    <row r="69" spans="1:13">
      <c r="A69" t="s">
        <v>179</v>
      </c>
      <c r="B69" s="9">
        <v>45919</v>
      </c>
      <c r="C69" t="s">
        <v>169</v>
      </c>
      <c r="D69" t="s">
        <v>24</v>
      </c>
      <c r="E69" t="s">
        <v>25</v>
      </c>
      <c r="F69" t="s">
        <v>26</v>
      </c>
      <c r="G69" t="s">
        <v>18</v>
      </c>
      <c r="H69" t="s">
        <v>46</v>
      </c>
      <c r="I69" t="s">
        <v>79</v>
      </c>
      <c r="J69" t="s">
        <v>138</v>
      </c>
      <c r="K69">
        <v>5</v>
      </c>
      <c r="L69" s="4">
        <v>2964</v>
      </c>
      <c r="M69" s="10">
        <f t="shared" si="1"/>
        <v>14820</v>
      </c>
    </row>
    <row r="70" spans="1:13">
      <c r="A70" t="s">
        <v>180</v>
      </c>
      <c r="B70" s="9">
        <v>45900</v>
      </c>
      <c r="C70" t="s">
        <v>91</v>
      </c>
      <c r="D70" t="s">
        <v>15</v>
      </c>
      <c r="E70" t="s">
        <v>44</v>
      </c>
      <c r="F70" t="s">
        <v>45</v>
      </c>
      <c r="G70" t="s">
        <v>18</v>
      </c>
      <c r="H70" t="s">
        <v>46</v>
      </c>
      <c r="I70" t="s">
        <v>29</v>
      </c>
      <c r="J70" t="s">
        <v>100</v>
      </c>
      <c r="K70">
        <v>1</v>
      </c>
      <c r="L70" s="4">
        <v>6662</v>
      </c>
      <c r="M70" s="10">
        <f t="shared" si="1"/>
        <v>6662</v>
      </c>
    </row>
    <row r="71" spans="1:13">
      <c r="A71" t="s">
        <v>181</v>
      </c>
      <c r="B71" s="9">
        <v>45716</v>
      </c>
      <c r="C71" t="s">
        <v>71</v>
      </c>
      <c r="D71" t="s">
        <v>43</v>
      </c>
      <c r="E71" t="s">
        <v>111</v>
      </c>
      <c r="F71" t="s">
        <v>26</v>
      </c>
      <c r="G71" t="s">
        <v>27</v>
      </c>
      <c r="H71" t="s">
        <v>46</v>
      </c>
      <c r="I71" t="s">
        <v>106</v>
      </c>
      <c r="J71" t="s">
        <v>133</v>
      </c>
      <c r="K71">
        <v>2</v>
      </c>
      <c r="L71" s="4">
        <v>472</v>
      </c>
      <c r="M71" s="10">
        <f t="shared" si="1"/>
        <v>944</v>
      </c>
    </row>
    <row r="72" spans="1:13">
      <c r="A72" t="s">
        <v>182</v>
      </c>
      <c r="B72" s="9">
        <v>45770</v>
      </c>
      <c r="C72" t="s">
        <v>129</v>
      </c>
      <c r="D72" t="s">
        <v>15</v>
      </c>
      <c r="E72" t="s">
        <v>17</v>
      </c>
      <c r="F72" t="s">
        <v>17</v>
      </c>
      <c r="G72" t="s">
        <v>27</v>
      </c>
      <c r="H72" t="s">
        <v>58</v>
      </c>
      <c r="I72" t="s">
        <v>20</v>
      </c>
      <c r="J72" t="s">
        <v>21</v>
      </c>
      <c r="K72">
        <v>3</v>
      </c>
      <c r="L72" s="4">
        <v>282</v>
      </c>
      <c r="M72" s="10">
        <f t="shared" si="1"/>
        <v>846</v>
      </c>
    </row>
    <row r="73" spans="1:13">
      <c r="A73" t="s">
        <v>183</v>
      </c>
      <c r="B73" s="9">
        <v>45968</v>
      </c>
      <c r="C73" t="s">
        <v>184</v>
      </c>
      <c r="D73" t="s">
        <v>15</v>
      </c>
      <c r="E73" t="s">
        <v>38</v>
      </c>
      <c r="F73" t="s">
        <v>34</v>
      </c>
      <c r="G73" t="s">
        <v>72</v>
      </c>
      <c r="H73" t="s">
        <v>28</v>
      </c>
      <c r="I73" t="s">
        <v>62</v>
      </c>
      <c r="J73" t="s">
        <v>63</v>
      </c>
      <c r="K73">
        <v>2</v>
      </c>
      <c r="L73" s="4">
        <v>9791</v>
      </c>
      <c r="M73" s="10">
        <f t="shared" si="1"/>
        <v>19582</v>
      </c>
    </row>
    <row r="74" spans="1:13">
      <c r="A74" t="s">
        <v>185</v>
      </c>
      <c r="B74" s="9">
        <v>45688</v>
      </c>
      <c r="C74" t="s">
        <v>76</v>
      </c>
      <c r="D74" t="s">
        <v>15</v>
      </c>
      <c r="E74" t="s">
        <v>44</v>
      </c>
      <c r="F74" t="s">
        <v>45</v>
      </c>
      <c r="G74" t="s">
        <v>52</v>
      </c>
      <c r="H74" t="s">
        <v>46</v>
      </c>
      <c r="I74" t="s">
        <v>47</v>
      </c>
      <c r="J74" t="s">
        <v>77</v>
      </c>
      <c r="K74">
        <v>2</v>
      </c>
      <c r="L74" s="4">
        <v>296</v>
      </c>
      <c r="M74" s="10">
        <f t="shared" si="1"/>
        <v>592</v>
      </c>
    </row>
    <row r="75" spans="1:13">
      <c r="A75" t="s">
        <v>186</v>
      </c>
      <c r="B75" s="9">
        <v>45750</v>
      </c>
      <c r="C75" t="s">
        <v>174</v>
      </c>
      <c r="D75" t="s">
        <v>15</v>
      </c>
      <c r="E75" t="s">
        <v>25</v>
      </c>
      <c r="F75" t="s">
        <v>26</v>
      </c>
      <c r="G75" t="s">
        <v>18</v>
      </c>
      <c r="H75" t="s">
        <v>28</v>
      </c>
      <c r="I75" t="s">
        <v>106</v>
      </c>
      <c r="J75" t="s">
        <v>133</v>
      </c>
      <c r="K75">
        <v>3</v>
      </c>
      <c r="L75" s="4">
        <v>1540</v>
      </c>
      <c r="M75" s="10">
        <f t="shared" si="1"/>
        <v>4620</v>
      </c>
    </row>
    <row r="76" spans="1:13">
      <c r="A76" t="s">
        <v>187</v>
      </c>
      <c r="B76" s="9">
        <v>45850</v>
      </c>
      <c r="C76" t="s">
        <v>99</v>
      </c>
      <c r="D76" t="s">
        <v>43</v>
      </c>
      <c r="E76" t="s">
        <v>57</v>
      </c>
      <c r="F76" t="s">
        <v>57</v>
      </c>
      <c r="G76" t="s">
        <v>52</v>
      </c>
      <c r="H76" t="s">
        <v>46</v>
      </c>
      <c r="I76" t="s">
        <v>39</v>
      </c>
      <c r="J76" t="s">
        <v>188</v>
      </c>
      <c r="K76">
        <v>4</v>
      </c>
      <c r="L76" s="4">
        <v>87</v>
      </c>
      <c r="M76" s="10">
        <f t="shared" si="1"/>
        <v>348</v>
      </c>
    </row>
    <row r="77" spans="1:13">
      <c r="A77" t="s">
        <v>189</v>
      </c>
      <c r="B77" s="9">
        <v>45876</v>
      </c>
      <c r="C77" t="s">
        <v>132</v>
      </c>
      <c r="D77" t="s">
        <v>24</v>
      </c>
      <c r="E77" t="s">
        <v>105</v>
      </c>
      <c r="F77" t="s">
        <v>45</v>
      </c>
      <c r="G77" t="s">
        <v>18</v>
      </c>
      <c r="H77" t="s">
        <v>46</v>
      </c>
      <c r="I77" t="s">
        <v>106</v>
      </c>
      <c r="J77" t="s">
        <v>190</v>
      </c>
      <c r="K77">
        <v>3</v>
      </c>
      <c r="L77" s="4">
        <v>1718</v>
      </c>
      <c r="M77" s="10">
        <f t="shared" si="1"/>
        <v>5154</v>
      </c>
    </row>
    <row r="78" spans="1:13">
      <c r="A78" t="s">
        <v>191</v>
      </c>
      <c r="B78" s="9">
        <v>45906</v>
      </c>
      <c r="C78" t="s">
        <v>160</v>
      </c>
      <c r="D78" t="s">
        <v>43</v>
      </c>
      <c r="E78" t="s">
        <v>97</v>
      </c>
      <c r="F78" t="s">
        <v>34</v>
      </c>
      <c r="G78" t="s">
        <v>72</v>
      </c>
      <c r="H78" t="s">
        <v>58</v>
      </c>
      <c r="I78" t="s">
        <v>79</v>
      </c>
      <c r="J78" t="s">
        <v>89</v>
      </c>
      <c r="K78">
        <v>1</v>
      </c>
      <c r="L78" s="4">
        <v>4742</v>
      </c>
      <c r="M78" s="10">
        <f t="shared" si="1"/>
        <v>4742</v>
      </c>
    </row>
    <row r="79" spans="1:13">
      <c r="A79" t="s">
        <v>192</v>
      </c>
      <c r="B79" s="9">
        <v>45986</v>
      </c>
      <c r="C79" t="s">
        <v>158</v>
      </c>
      <c r="D79" t="s">
        <v>24</v>
      </c>
      <c r="E79" t="s">
        <v>16</v>
      </c>
      <c r="F79" t="s">
        <v>17</v>
      </c>
      <c r="G79" t="s">
        <v>72</v>
      </c>
      <c r="H79" t="s">
        <v>46</v>
      </c>
      <c r="I79" t="s">
        <v>39</v>
      </c>
      <c r="J79" t="s">
        <v>40</v>
      </c>
      <c r="K79">
        <v>5</v>
      </c>
      <c r="L79" s="4">
        <v>175</v>
      </c>
      <c r="M79" s="10">
        <f t="shared" si="1"/>
        <v>875</v>
      </c>
    </row>
    <row r="80" spans="1:13">
      <c r="A80" t="s">
        <v>193</v>
      </c>
      <c r="B80" s="9">
        <v>45924</v>
      </c>
      <c r="C80" t="s">
        <v>50</v>
      </c>
      <c r="D80" t="s">
        <v>24</v>
      </c>
      <c r="E80" t="s">
        <v>57</v>
      </c>
      <c r="F80" t="s">
        <v>57</v>
      </c>
      <c r="G80" t="s">
        <v>72</v>
      </c>
      <c r="H80" t="s">
        <v>19</v>
      </c>
      <c r="I80" t="s">
        <v>29</v>
      </c>
      <c r="J80" t="s">
        <v>153</v>
      </c>
      <c r="K80">
        <v>3</v>
      </c>
      <c r="L80" s="4">
        <v>4533</v>
      </c>
      <c r="M80" s="10">
        <f t="shared" si="1"/>
        <v>13599</v>
      </c>
    </row>
    <row r="81" spans="1:13">
      <c r="A81" t="s">
        <v>194</v>
      </c>
      <c r="B81" s="9">
        <v>45892</v>
      </c>
      <c r="C81" t="s">
        <v>195</v>
      </c>
      <c r="D81" t="s">
        <v>24</v>
      </c>
      <c r="E81" t="s">
        <v>84</v>
      </c>
      <c r="F81" t="s">
        <v>26</v>
      </c>
      <c r="G81" t="s">
        <v>18</v>
      </c>
      <c r="H81" t="s">
        <v>58</v>
      </c>
      <c r="I81" t="s">
        <v>47</v>
      </c>
      <c r="J81" t="s">
        <v>172</v>
      </c>
      <c r="K81">
        <v>2</v>
      </c>
      <c r="L81" s="4">
        <v>313</v>
      </c>
      <c r="M81" s="10">
        <f t="shared" si="1"/>
        <v>626</v>
      </c>
    </row>
    <row r="82" spans="1:13">
      <c r="A82" t="s">
        <v>196</v>
      </c>
      <c r="B82" s="9">
        <v>45763</v>
      </c>
      <c r="C82" t="s">
        <v>160</v>
      </c>
      <c r="D82" t="s">
        <v>24</v>
      </c>
      <c r="E82" t="s">
        <v>105</v>
      </c>
      <c r="F82" t="s">
        <v>45</v>
      </c>
      <c r="G82" t="s">
        <v>18</v>
      </c>
      <c r="H82" t="s">
        <v>28</v>
      </c>
      <c r="I82" t="s">
        <v>39</v>
      </c>
      <c r="J82" t="s">
        <v>125</v>
      </c>
      <c r="K82">
        <v>1</v>
      </c>
      <c r="L82" s="4">
        <v>264</v>
      </c>
      <c r="M82" s="10">
        <f t="shared" si="1"/>
        <v>264</v>
      </c>
    </row>
    <row r="83" spans="1:13">
      <c r="A83" t="s">
        <v>197</v>
      </c>
      <c r="B83" s="9">
        <v>45952</v>
      </c>
      <c r="C83" t="s">
        <v>198</v>
      </c>
      <c r="D83" t="s">
        <v>24</v>
      </c>
      <c r="E83" t="s">
        <v>56</v>
      </c>
      <c r="F83" t="s">
        <v>57</v>
      </c>
      <c r="G83" t="s">
        <v>18</v>
      </c>
      <c r="H83" t="s">
        <v>46</v>
      </c>
      <c r="I83" t="s">
        <v>47</v>
      </c>
      <c r="J83" t="s">
        <v>172</v>
      </c>
      <c r="K83">
        <v>2</v>
      </c>
      <c r="L83" s="4">
        <v>567</v>
      </c>
      <c r="M83" s="10">
        <f t="shared" si="1"/>
        <v>1134</v>
      </c>
    </row>
    <row r="84" spans="1:13">
      <c r="A84" t="s">
        <v>199</v>
      </c>
      <c r="B84" s="9">
        <v>45989</v>
      </c>
      <c r="C84" t="s">
        <v>37</v>
      </c>
      <c r="D84" t="s">
        <v>15</v>
      </c>
      <c r="E84" t="s">
        <v>84</v>
      </c>
      <c r="F84" t="s">
        <v>26</v>
      </c>
      <c r="G84" t="s">
        <v>18</v>
      </c>
      <c r="H84" t="s">
        <v>19</v>
      </c>
      <c r="I84" t="s">
        <v>39</v>
      </c>
      <c r="J84" t="s">
        <v>40</v>
      </c>
      <c r="K84">
        <v>2</v>
      </c>
      <c r="L84" s="4">
        <v>182</v>
      </c>
      <c r="M84" s="10">
        <f t="shared" si="1"/>
        <v>364</v>
      </c>
    </row>
    <row r="85" spans="1:13">
      <c r="A85" t="s">
        <v>200</v>
      </c>
      <c r="B85" s="9">
        <v>45979</v>
      </c>
      <c r="C85" t="s">
        <v>50</v>
      </c>
      <c r="D85" t="s">
        <v>43</v>
      </c>
      <c r="E85" t="s">
        <v>17</v>
      </c>
      <c r="F85" t="s">
        <v>17</v>
      </c>
      <c r="G85" t="s">
        <v>18</v>
      </c>
      <c r="H85" t="s">
        <v>46</v>
      </c>
      <c r="I85" t="s">
        <v>29</v>
      </c>
      <c r="J85" t="s">
        <v>100</v>
      </c>
      <c r="K85">
        <v>5</v>
      </c>
      <c r="L85" s="4">
        <v>3974</v>
      </c>
      <c r="M85" s="10">
        <f t="shared" si="1"/>
        <v>19870</v>
      </c>
    </row>
    <row r="86" spans="1:13">
      <c r="A86" t="s">
        <v>201</v>
      </c>
      <c r="B86" s="9">
        <v>45679</v>
      </c>
      <c r="C86" t="s">
        <v>202</v>
      </c>
      <c r="D86" t="s">
        <v>15</v>
      </c>
      <c r="E86" t="s">
        <v>51</v>
      </c>
      <c r="F86" t="s">
        <v>45</v>
      </c>
      <c r="G86" t="s">
        <v>27</v>
      </c>
      <c r="H86" t="s">
        <v>28</v>
      </c>
      <c r="I86" t="s">
        <v>106</v>
      </c>
      <c r="J86" t="s">
        <v>190</v>
      </c>
      <c r="K86">
        <v>3</v>
      </c>
      <c r="L86" s="4">
        <v>918</v>
      </c>
      <c r="M86" s="10">
        <f t="shared" si="1"/>
        <v>2754</v>
      </c>
    </row>
    <row r="87" spans="1:13">
      <c r="A87" t="s">
        <v>203</v>
      </c>
      <c r="B87" s="9">
        <v>45951</v>
      </c>
      <c r="C87" t="s">
        <v>86</v>
      </c>
      <c r="D87" t="s">
        <v>24</v>
      </c>
      <c r="E87" t="s">
        <v>38</v>
      </c>
      <c r="F87" t="s">
        <v>34</v>
      </c>
      <c r="G87" t="s">
        <v>27</v>
      </c>
      <c r="H87" t="s">
        <v>28</v>
      </c>
      <c r="I87" t="s">
        <v>59</v>
      </c>
      <c r="J87" t="s">
        <v>130</v>
      </c>
      <c r="K87">
        <v>4</v>
      </c>
      <c r="L87" s="4">
        <v>580</v>
      </c>
      <c r="M87" s="10">
        <f t="shared" si="1"/>
        <v>2320</v>
      </c>
    </row>
    <row r="88" spans="1:13">
      <c r="A88" t="s">
        <v>204</v>
      </c>
      <c r="B88" s="9">
        <v>45850</v>
      </c>
      <c r="C88" t="s">
        <v>140</v>
      </c>
      <c r="D88" t="s">
        <v>43</v>
      </c>
      <c r="E88" t="s">
        <v>69</v>
      </c>
      <c r="F88" t="s">
        <v>45</v>
      </c>
      <c r="G88" t="s">
        <v>27</v>
      </c>
      <c r="H88" t="s">
        <v>19</v>
      </c>
      <c r="I88" t="s">
        <v>106</v>
      </c>
      <c r="J88" t="s">
        <v>107</v>
      </c>
      <c r="K88">
        <v>1</v>
      </c>
      <c r="L88" s="4">
        <v>965</v>
      </c>
      <c r="M88" s="10">
        <f t="shared" si="1"/>
        <v>965</v>
      </c>
    </row>
    <row r="89" spans="1:13">
      <c r="A89" t="s">
        <v>205</v>
      </c>
      <c r="B89" s="9">
        <v>45701</v>
      </c>
      <c r="C89" t="s">
        <v>137</v>
      </c>
      <c r="D89" t="s">
        <v>43</v>
      </c>
      <c r="E89" t="s">
        <v>44</v>
      </c>
      <c r="F89" t="s">
        <v>45</v>
      </c>
      <c r="G89" t="s">
        <v>72</v>
      </c>
      <c r="H89" t="s">
        <v>46</v>
      </c>
      <c r="I89" t="s">
        <v>62</v>
      </c>
      <c r="J89" t="s">
        <v>63</v>
      </c>
      <c r="K89">
        <v>5</v>
      </c>
      <c r="L89" s="4">
        <v>19507</v>
      </c>
      <c r="M89" s="10">
        <f t="shared" si="1"/>
        <v>97535</v>
      </c>
    </row>
    <row r="90" spans="1:13">
      <c r="A90" t="s">
        <v>206</v>
      </c>
      <c r="B90" s="9">
        <v>45828</v>
      </c>
      <c r="C90" t="s">
        <v>145</v>
      </c>
      <c r="D90" t="s">
        <v>24</v>
      </c>
      <c r="E90" t="s">
        <v>51</v>
      </c>
      <c r="F90" t="s">
        <v>45</v>
      </c>
      <c r="G90" t="s">
        <v>27</v>
      </c>
      <c r="H90" t="s">
        <v>28</v>
      </c>
      <c r="I90" t="s">
        <v>29</v>
      </c>
      <c r="J90" t="s">
        <v>100</v>
      </c>
      <c r="K90">
        <v>5</v>
      </c>
      <c r="L90" s="4">
        <v>7206</v>
      </c>
      <c r="M90" s="10">
        <f t="shared" si="1"/>
        <v>36030</v>
      </c>
    </row>
    <row r="91" spans="1:13">
      <c r="A91" t="s">
        <v>207</v>
      </c>
      <c r="B91" s="9">
        <v>45942</v>
      </c>
      <c r="C91" t="s">
        <v>129</v>
      </c>
      <c r="D91" t="s">
        <v>24</v>
      </c>
      <c r="E91" t="s">
        <v>16</v>
      </c>
      <c r="F91" t="s">
        <v>17</v>
      </c>
      <c r="G91" t="s">
        <v>52</v>
      </c>
      <c r="H91" t="s">
        <v>28</v>
      </c>
      <c r="I91" t="s">
        <v>106</v>
      </c>
      <c r="J91" t="s">
        <v>190</v>
      </c>
      <c r="K91">
        <v>2</v>
      </c>
      <c r="L91" s="4">
        <v>1937</v>
      </c>
      <c r="M91" s="10">
        <f t="shared" si="1"/>
        <v>3874</v>
      </c>
    </row>
    <row r="92" spans="1:13">
      <c r="A92" t="s">
        <v>208</v>
      </c>
      <c r="B92" s="9">
        <v>46018</v>
      </c>
      <c r="C92" t="s">
        <v>209</v>
      </c>
      <c r="D92" t="s">
        <v>15</v>
      </c>
      <c r="E92" t="s">
        <v>57</v>
      </c>
      <c r="F92" t="s">
        <v>57</v>
      </c>
      <c r="G92" t="s">
        <v>18</v>
      </c>
      <c r="H92" t="s">
        <v>46</v>
      </c>
      <c r="I92" t="s">
        <v>59</v>
      </c>
      <c r="J92" t="s">
        <v>112</v>
      </c>
      <c r="K92">
        <v>3</v>
      </c>
      <c r="L92" s="4">
        <v>1426</v>
      </c>
      <c r="M92" s="10">
        <f t="shared" si="1"/>
        <v>4278</v>
      </c>
    </row>
    <row r="93" spans="1:13">
      <c r="A93" t="s">
        <v>210</v>
      </c>
      <c r="B93" s="9">
        <v>45709</v>
      </c>
      <c r="C93" t="s">
        <v>102</v>
      </c>
      <c r="D93" t="s">
        <v>15</v>
      </c>
      <c r="E93" t="s">
        <v>57</v>
      </c>
      <c r="F93" t="s">
        <v>57</v>
      </c>
      <c r="G93" t="s">
        <v>72</v>
      </c>
      <c r="H93" t="s">
        <v>28</v>
      </c>
      <c r="I93" t="s">
        <v>20</v>
      </c>
      <c r="J93" t="s">
        <v>53</v>
      </c>
      <c r="K93">
        <v>1</v>
      </c>
      <c r="L93" s="4">
        <v>2058</v>
      </c>
      <c r="M93" s="10">
        <f t="shared" si="1"/>
        <v>2058</v>
      </c>
    </row>
    <row r="94" spans="1:13">
      <c r="A94" t="s">
        <v>211</v>
      </c>
      <c r="B94" s="9">
        <v>45738</v>
      </c>
      <c r="C94" t="s">
        <v>118</v>
      </c>
      <c r="D94" t="s">
        <v>15</v>
      </c>
      <c r="E94" t="s">
        <v>56</v>
      </c>
      <c r="F94" t="s">
        <v>57</v>
      </c>
      <c r="G94" t="s">
        <v>27</v>
      </c>
      <c r="H94" t="s">
        <v>46</v>
      </c>
      <c r="I94" t="s">
        <v>106</v>
      </c>
      <c r="J94" t="s">
        <v>190</v>
      </c>
      <c r="K94">
        <v>5</v>
      </c>
      <c r="L94" s="4">
        <v>1217</v>
      </c>
      <c r="M94" s="10">
        <f t="shared" si="1"/>
        <v>6085</v>
      </c>
    </row>
    <row r="95" spans="1:13">
      <c r="A95" t="s">
        <v>212</v>
      </c>
      <c r="B95" s="9">
        <v>45740</v>
      </c>
      <c r="C95" t="s">
        <v>213</v>
      </c>
      <c r="D95" t="s">
        <v>43</v>
      </c>
      <c r="E95" t="s">
        <v>105</v>
      </c>
      <c r="F95" t="s">
        <v>45</v>
      </c>
      <c r="G95" t="s">
        <v>27</v>
      </c>
      <c r="H95" t="s">
        <v>28</v>
      </c>
      <c r="I95" t="s">
        <v>20</v>
      </c>
      <c r="J95" t="s">
        <v>35</v>
      </c>
      <c r="K95">
        <v>4</v>
      </c>
      <c r="L95" s="4">
        <v>2726</v>
      </c>
      <c r="M95" s="10">
        <f t="shared" si="1"/>
        <v>10904</v>
      </c>
    </row>
    <row r="96" spans="1:13">
      <c r="A96" t="s">
        <v>214</v>
      </c>
      <c r="B96" s="9">
        <v>45684</v>
      </c>
      <c r="C96" t="s">
        <v>110</v>
      </c>
      <c r="D96" t="s">
        <v>15</v>
      </c>
      <c r="E96" t="s">
        <v>105</v>
      </c>
      <c r="F96" t="s">
        <v>45</v>
      </c>
      <c r="G96" t="s">
        <v>27</v>
      </c>
      <c r="H96" t="s">
        <v>28</v>
      </c>
      <c r="I96" t="s">
        <v>29</v>
      </c>
      <c r="J96" t="s">
        <v>100</v>
      </c>
      <c r="K96">
        <v>4</v>
      </c>
      <c r="L96" s="4">
        <v>7413</v>
      </c>
      <c r="M96" s="10">
        <f t="shared" si="1"/>
        <v>29652</v>
      </c>
    </row>
    <row r="97" spans="1:13">
      <c r="A97" t="s">
        <v>215</v>
      </c>
      <c r="B97" s="9">
        <v>45688</v>
      </c>
      <c r="C97" t="s">
        <v>82</v>
      </c>
      <c r="D97" t="s">
        <v>15</v>
      </c>
      <c r="E97" t="s">
        <v>25</v>
      </c>
      <c r="F97" t="s">
        <v>26</v>
      </c>
      <c r="G97" t="s">
        <v>27</v>
      </c>
      <c r="H97" t="s">
        <v>28</v>
      </c>
      <c r="I97" t="s">
        <v>39</v>
      </c>
      <c r="J97" t="s">
        <v>40</v>
      </c>
      <c r="K97">
        <v>2</v>
      </c>
      <c r="L97" s="4">
        <v>363</v>
      </c>
      <c r="M97" s="10">
        <f t="shared" si="1"/>
        <v>726</v>
      </c>
    </row>
    <row r="98" spans="1:13">
      <c r="A98" t="s">
        <v>216</v>
      </c>
      <c r="B98" s="9">
        <v>45743</v>
      </c>
      <c r="C98" t="s">
        <v>82</v>
      </c>
      <c r="D98" t="s">
        <v>24</v>
      </c>
      <c r="E98" t="s">
        <v>44</v>
      </c>
      <c r="F98" t="s">
        <v>45</v>
      </c>
      <c r="G98" t="s">
        <v>27</v>
      </c>
      <c r="H98" t="s">
        <v>46</v>
      </c>
      <c r="I98" t="s">
        <v>39</v>
      </c>
      <c r="J98" t="s">
        <v>40</v>
      </c>
      <c r="K98">
        <v>2</v>
      </c>
      <c r="L98" s="4">
        <v>292</v>
      </c>
      <c r="M98" s="10">
        <f t="shared" si="1"/>
        <v>584</v>
      </c>
    </row>
    <row r="99" spans="1:13">
      <c r="A99" t="s">
        <v>217</v>
      </c>
      <c r="B99" s="9">
        <v>45970</v>
      </c>
      <c r="C99" t="s">
        <v>169</v>
      </c>
      <c r="D99" t="s">
        <v>15</v>
      </c>
      <c r="E99" t="s">
        <v>33</v>
      </c>
      <c r="F99" t="s">
        <v>34</v>
      </c>
      <c r="G99" t="s">
        <v>27</v>
      </c>
      <c r="H99" t="s">
        <v>28</v>
      </c>
      <c r="I99" t="s">
        <v>47</v>
      </c>
      <c r="J99" t="s">
        <v>48</v>
      </c>
      <c r="K99">
        <v>2</v>
      </c>
      <c r="L99" s="4">
        <v>366</v>
      </c>
      <c r="M99" s="10">
        <f t="shared" si="1"/>
        <v>732</v>
      </c>
    </row>
    <row r="100" spans="1:13">
      <c r="A100" t="s">
        <v>218</v>
      </c>
      <c r="B100" s="9">
        <v>46018</v>
      </c>
      <c r="C100" t="s">
        <v>102</v>
      </c>
      <c r="D100" t="s">
        <v>43</v>
      </c>
      <c r="E100" t="s">
        <v>51</v>
      </c>
      <c r="F100" t="s">
        <v>45</v>
      </c>
      <c r="G100" t="s">
        <v>27</v>
      </c>
      <c r="H100" t="s">
        <v>19</v>
      </c>
      <c r="I100" t="s">
        <v>106</v>
      </c>
      <c r="J100" t="s">
        <v>107</v>
      </c>
      <c r="K100">
        <v>1</v>
      </c>
      <c r="L100" s="4">
        <v>1213</v>
      </c>
      <c r="M100" s="10">
        <f t="shared" si="1"/>
        <v>1213</v>
      </c>
    </row>
    <row r="101" spans="1:13">
      <c r="A101" t="s">
        <v>219</v>
      </c>
      <c r="B101" s="9">
        <v>45809</v>
      </c>
      <c r="C101" t="s">
        <v>122</v>
      </c>
      <c r="D101" t="s">
        <v>15</v>
      </c>
      <c r="E101" t="s">
        <v>105</v>
      </c>
      <c r="F101" t="s">
        <v>45</v>
      </c>
      <c r="G101" t="s">
        <v>27</v>
      </c>
      <c r="H101" t="s">
        <v>46</v>
      </c>
      <c r="I101" t="s">
        <v>62</v>
      </c>
      <c r="J101" t="s">
        <v>73</v>
      </c>
      <c r="K101">
        <v>1</v>
      </c>
      <c r="L101" s="4">
        <v>7087</v>
      </c>
      <c r="M101" s="10">
        <f t="shared" si="1"/>
        <v>7087</v>
      </c>
    </row>
    <row r="102" spans="1:13">
      <c r="A102" t="s">
        <v>220</v>
      </c>
      <c r="B102" s="9">
        <v>45768</v>
      </c>
      <c r="C102" t="s">
        <v>114</v>
      </c>
      <c r="D102" t="s">
        <v>24</v>
      </c>
      <c r="E102" t="s">
        <v>51</v>
      </c>
      <c r="F102" t="s">
        <v>45</v>
      </c>
      <c r="G102" t="s">
        <v>18</v>
      </c>
      <c r="H102" t="s">
        <v>58</v>
      </c>
      <c r="I102" t="s">
        <v>20</v>
      </c>
      <c r="J102" t="s">
        <v>53</v>
      </c>
      <c r="K102">
        <v>1</v>
      </c>
      <c r="L102" s="4">
        <v>1380</v>
      </c>
      <c r="M102" s="10">
        <f t="shared" si="1"/>
        <v>1380</v>
      </c>
    </row>
    <row r="103" spans="1:13">
      <c r="A103" t="s">
        <v>221</v>
      </c>
      <c r="B103" s="9">
        <v>45855</v>
      </c>
      <c r="C103" t="s">
        <v>176</v>
      </c>
      <c r="D103" t="s">
        <v>43</v>
      </c>
      <c r="E103" t="s">
        <v>69</v>
      </c>
      <c r="F103" t="s">
        <v>45</v>
      </c>
      <c r="G103" t="s">
        <v>72</v>
      </c>
      <c r="H103" t="s">
        <v>46</v>
      </c>
      <c r="I103" t="s">
        <v>29</v>
      </c>
      <c r="J103" t="s">
        <v>30</v>
      </c>
      <c r="K103">
        <v>2</v>
      </c>
      <c r="L103" s="4">
        <v>7675</v>
      </c>
      <c r="M103" s="10">
        <f t="shared" si="1"/>
        <v>15350</v>
      </c>
    </row>
    <row r="104" spans="1:13">
      <c r="A104" t="s">
        <v>222</v>
      </c>
      <c r="B104" s="9">
        <v>45694</v>
      </c>
      <c r="C104" t="s">
        <v>55</v>
      </c>
      <c r="D104" t="s">
        <v>15</v>
      </c>
      <c r="E104" t="s">
        <v>84</v>
      </c>
      <c r="F104" t="s">
        <v>26</v>
      </c>
      <c r="G104" t="s">
        <v>18</v>
      </c>
      <c r="H104" t="s">
        <v>19</v>
      </c>
      <c r="I104" t="s">
        <v>106</v>
      </c>
      <c r="J104" t="s">
        <v>190</v>
      </c>
      <c r="K104">
        <v>4</v>
      </c>
      <c r="L104" s="4">
        <v>1980</v>
      </c>
      <c r="M104" s="10">
        <f t="shared" si="1"/>
        <v>7920</v>
      </c>
    </row>
    <row r="105" spans="1:13">
      <c r="A105" t="s">
        <v>223</v>
      </c>
      <c r="B105" s="9">
        <v>45732</v>
      </c>
      <c r="C105" t="s">
        <v>114</v>
      </c>
      <c r="D105" t="s">
        <v>15</v>
      </c>
      <c r="E105" t="s">
        <v>56</v>
      </c>
      <c r="F105" t="s">
        <v>57</v>
      </c>
      <c r="G105" t="s">
        <v>18</v>
      </c>
      <c r="H105" t="s">
        <v>46</v>
      </c>
      <c r="I105" t="s">
        <v>20</v>
      </c>
      <c r="J105" t="s">
        <v>53</v>
      </c>
      <c r="K105">
        <v>5</v>
      </c>
      <c r="L105" s="4">
        <v>392</v>
      </c>
      <c r="M105" s="10">
        <f t="shared" si="1"/>
        <v>1960</v>
      </c>
    </row>
    <row r="106" spans="1:13">
      <c r="A106" t="s">
        <v>224</v>
      </c>
      <c r="B106" s="9">
        <v>45868</v>
      </c>
      <c r="C106" t="s">
        <v>145</v>
      </c>
      <c r="D106" t="s">
        <v>15</v>
      </c>
      <c r="E106" t="s">
        <v>25</v>
      </c>
      <c r="F106" t="s">
        <v>26</v>
      </c>
      <c r="G106" t="s">
        <v>18</v>
      </c>
      <c r="H106" t="s">
        <v>28</v>
      </c>
      <c r="I106" t="s">
        <v>20</v>
      </c>
      <c r="J106" t="s">
        <v>123</v>
      </c>
      <c r="K106">
        <v>1</v>
      </c>
      <c r="L106" s="4">
        <v>482</v>
      </c>
      <c r="M106" s="10">
        <f t="shared" si="1"/>
        <v>482</v>
      </c>
    </row>
    <row r="107" spans="1:13">
      <c r="A107" t="s">
        <v>225</v>
      </c>
      <c r="B107" s="9">
        <v>46015</v>
      </c>
      <c r="C107" t="s">
        <v>42</v>
      </c>
      <c r="D107" t="s">
        <v>43</v>
      </c>
      <c r="E107" t="s">
        <v>97</v>
      </c>
      <c r="F107" t="s">
        <v>34</v>
      </c>
      <c r="G107" t="s">
        <v>18</v>
      </c>
      <c r="H107" t="s">
        <v>19</v>
      </c>
      <c r="I107" t="s">
        <v>20</v>
      </c>
      <c r="J107" t="s">
        <v>53</v>
      </c>
      <c r="K107">
        <v>4</v>
      </c>
      <c r="L107" s="4">
        <v>674</v>
      </c>
      <c r="M107" s="10">
        <f t="shared" si="1"/>
        <v>2696</v>
      </c>
    </row>
    <row r="108" spans="1:13">
      <c r="A108" t="s">
        <v>226</v>
      </c>
      <c r="B108" s="9">
        <v>46011</v>
      </c>
      <c r="C108" t="s">
        <v>140</v>
      </c>
      <c r="D108" t="s">
        <v>15</v>
      </c>
      <c r="E108" t="s">
        <v>57</v>
      </c>
      <c r="F108" t="s">
        <v>57</v>
      </c>
      <c r="G108" t="s">
        <v>18</v>
      </c>
      <c r="H108" t="s">
        <v>28</v>
      </c>
      <c r="I108" t="s">
        <v>59</v>
      </c>
      <c r="J108" t="s">
        <v>112</v>
      </c>
      <c r="K108">
        <v>3</v>
      </c>
      <c r="L108" s="4">
        <v>286</v>
      </c>
      <c r="M108" s="10">
        <f t="shared" si="1"/>
        <v>858</v>
      </c>
    </row>
    <row r="109" spans="1:13">
      <c r="A109" t="s">
        <v>227</v>
      </c>
      <c r="B109" s="9">
        <v>45798</v>
      </c>
      <c r="C109" t="s">
        <v>140</v>
      </c>
      <c r="D109" t="s">
        <v>15</v>
      </c>
      <c r="E109" t="s">
        <v>33</v>
      </c>
      <c r="F109" t="s">
        <v>34</v>
      </c>
      <c r="G109" t="s">
        <v>27</v>
      </c>
      <c r="H109" t="s">
        <v>46</v>
      </c>
      <c r="I109" t="s">
        <v>79</v>
      </c>
      <c r="J109" t="s">
        <v>138</v>
      </c>
      <c r="K109">
        <v>3</v>
      </c>
      <c r="L109" s="4">
        <v>861</v>
      </c>
      <c r="M109" s="10">
        <f t="shared" si="1"/>
        <v>2583</v>
      </c>
    </row>
    <row r="110" spans="1:13">
      <c r="A110" t="s">
        <v>228</v>
      </c>
      <c r="B110" s="9">
        <v>45926</v>
      </c>
      <c r="C110" t="s">
        <v>195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 t="s">
        <v>79</v>
      </c>
      <c r="J110" t="s">
        <v>80</v>
      </c>
      <c r="K110">
        <v>5</v>
      </c>
      <c r="L110" s="4">
        <v>3236</v>
      </c>
      <c r="M110" s="10">
        <f t="shared" si="1"/>
        <v>16180</v>
      </c>
    </row>
    <row r="111" spans="1:13">
      <c r="A111" t="s">
        <v>229</v>
      </c>
      <c r="B111" s="9">
        <v>45813</v>
      </c>
      <c r="C111" t="s">
        <v>202</v>
      </c>
      <c r="D111" t="s">
        <v>15</v>
      </c>
      <c r="E111" t="s">
        <v>25</v>
      </c>
      <c r="F111" t="s">
        <v>26</v>
      </c>
      <c r="G111" t="s">
        <v>18</v>
      </c>
      <c r="H111" t="s">
        <v>19</v>
      </c>
      <c r="I111" t="s">
        <v>20</v>
      </c>
      <c r="J111" t="s">
        <v>21</v>
      </c>
      <c r="K111">
        <v>3</v>
      </c>
      <c r="L111" s="4">
        <v>2537</v>
      </c>
      <c r="M111" s="10">
        <f t="shared" si="1"/>
        <v>7611</v>
      </c>
    </row>
    <row r="112" spans="1:13">
      <c r="A112" t="s">
        <v>230</v>
      </c>
      <c r="B112" s="9">
        <v>45713</v>
      </c>
      <c r="C112" t="s">
        <v>99</v>
      </c>
      <c r="D112" t="s">
        <v>43</v>
      </c>
      <c r="E112" t="s">
        <v>105</v>
      </c>
      <c r="F112" t="s">
        <v>45</v>
      </c>
      <c r="G112" t="s">
        <v>27</v>
      </c>
      <c r="H112" t="s">
        <v>28</v>
      </c>
      <c r="I112" t="s">
        <v>20</v>
      </c>
      <c r="J112" t="s">
        <v>35</v>
      </c>
      <c r="K112">
        <v>5</v>
      </c>
      <c r="L112" s="4">
        <v>1663</v>
      </c>
      <c r="M112" s="10">
        <f t="shared" si="1"/>
        <v>8315</v>
      </c>
    </row>
    <row r="113" spans="1:13">
      <c r="A113" t="s">
        <v>231</v>
      </c>
      <c r="B113" s="9">
        <v>45799</v>
      </c>
      <c r="C113" t="s">
        <v>135</v>
      </c>
      <c r="D113" t="s">
        <v>15</v>
      </c>
      <c r="E113" t="s">
        <v>25</v>
      </c>
      <c r="F113" t="s">
        <v>26</v>
      </c>
      <c r="G113" t="s">
        <v>27</v>
      </c>
      <c r="H113" t="s">
        <v>19</v>
      </c>
      <c r="I113" t="s">
        <v>106</v>
      </c>
      <c r="J113" t="s">
        <v>133</v>
      </c>
      <c r="K113">
        <v>1</v>
      </c>
      <c r="L113" s="4">
        <v>590</v>
      </c>
      <c r="M113" s="10">
        <f t="shared" si="1"/>
        <v>590</v>
      </c>
    </row>
    <row r="114" spans="1:13">
      <c r="A114" t="s">
        <v>232</v>
      </c>
      <c r="B114" s="9">
        <v>45962</v>
      </c>
      <c r="C114" t="s">
        <v>140</v>
      </c>
      <c r="D114" t="s">
        <v>24</v>
      </c>
      <c r="E114" t="s">
        <v>51</v>
      </c>
      <c r="F114" t="s">
        <v>45</v>
      </c>
      <c r="G114" t="s">
        <v>27</v>
      </c>
      <c r="H114" t="s">
        <v>28</v>
      </c>
      <c r="I114" t="s">
        <v>47</v>
      </c>
      <c r="J114" t="s">
        <v>103</v>
      </c>
      <c r="K114">
        <v>1</v>
      </c>
      <c r="L114" s="4">
        <v>367</v>
      </c>
      <c r="M114" s="10">
        <f t="shared" si="1"/>
        <v>367</v>
      </c>
    </row>
    <row r="115" spans="1:13">
      <c r="A115" t="s">
        <v>233</v>
      </c>
      <c r="B115" s="9">
        <v>45816</v>
      </c>
      <c r="C115" t="s">
        <v>42</v>
      </c>
      <c r="D115" t="s">
        <v>43</v>
      </c>
      <c r="E115" t="s">
        <v>69</v>
      </c>
      <c r="F115" t="s">
        <v>45</v>
      </c>
      <c r="G115" t="s">
        <v>52</v>
      </c>
      <c r="H115" t="s">
        <v>28</v>
      </c>
      <c r="I115" t="s">
        <v>62</v>
      </c>
      <c r="J115" t="s">
        <v>73</v>
      </c>
      <c r="K115">
        <v>4</v>
      </c>
      <c r="L115" s="4">
        <v>20331</v>
      </c>
      <c r="M115" s="10">
        <f t="shared" si="1"/>
        <v>81324</v>
      </c>
    </row>
    <row r="116" spans="1:13">
      <c r="A116" t="s">
        <v>234</v>
      </c>
      <c r="B116" s="9">
        <v>45927</v>
      </c>
      <c r="C116" t="s">
        <v>42</v>
      </c>
      <c r="D116" t="s">
        <v>15</v>
      </c>
      <c r="E116" t="s">
        <v>16</v>
      </c>
      <c r="F116" t="s">
        <v>17</v>
      </c>
      <c r="G116" t="s">
        <v>18</v>
      </c>
      <c r="H116" t="s">
        <v>46</v>
      </c>
      <c r="I116" t="s">
        <v>62</v>
      </c>
      <c r="J116" t="s">
        <v>73</v>
      </c>
      <c r="K116">
        <v>2</v>
      </c>
      <c r="L116" s="4">
        <v>4888</v>
      </c>
      <c r="M116" s="10">
        <f t="shared" si="1"/>
        <v>9776</v>
      </c>
    </row>
    <row r="117" spans="1:13">
      <c r="A117" t="s">
        <v>235</v>
      </c>
      <c r="B117" s="9">
        <v>45798</v>
      </c>
      <c r="C117" t="s">
        <v>174</v>
      </c>
      <c r="D117" t="s">
        <v>15</v>
      </c>
      <c r="E117" t="s">
        <v>97</v>
      </c>
      <c r="F117" t="s">
        <v>34</v>
      </c>
      <c r="G117" t="s">
        <v>52</v>
      </c>
      <c r="H117" t="s">
        <v>58</v>
      </c>
      <c r="I117" t="s">
        <v>47</v>
      </c>
      <c r="J117" t="s">
        <v>172</v>
      </c>
      <c r="K117">
        <v>2</v>
      </c>
      <c r="L117" s="4">
        <v>400</v>
      </c>
      <c r="M117" s="10">
        <f t="shared" si="1"/>
        <v>800</v>
      </c>
    </row>
    <row r="118" spans="1:13">
      <c r="A118" t="s">
        <v>236</v>
      </c>
      <c r="B118" s="9">
        <v>45836</v>
      </c>
      <c r="C118" t="s">
        <v>86</v>
      </c>
      <c r="D118" t="s">
        <v>24</v>
      </c>
      <c r="E118" t="s">
        <v>33</v>
      </c>
      <c r="F118" t="s">
        <v>34</v>
      </c>
      <c r="G118" t="s">
        <v>18</v>
      </c>
      <c r="H118" t="s">
        <v>28</v>
      </c>
      <c r="I118" t="s">
        <v>59</v>
      </c>
      <c r="J118" t="s">
        <v>112</v>
      </c>
      <c r="K118">
        <v>4</v>
      </c>
      <c r="L118" s="4">
        <v>301</v>
      </c>
      <c r="M118" s="10">
        <f t="shared" si="1"/>
        <v>1204</v>
      </c>
    </row>
    <row r="119" spans="1:13">
      <c r="A119" t="s">
        <v>237</v>
      </c>
      <c r="B119" s="9">
        <v>45996</v>
      </c>
      <c r="C119" t="s">
        <v>23</v>
      </c>
      <c r="D119" t="s">
        <v>15</v>
      </c>
      <c r="E119" t="s">
        <v>33</v>
      </c>
      <c r="F119" t="s">
        <v>34</v>
      </c>
      <c r="G119" t="s">
        <v>27</v>
      </c>
      <c r="H119" t="s">
        <v>28</v>
      </c>
      <c r="I119" t="s">
        <v>106</v>
      </c>
      <c r="J119" t="s">
        <v>190</v>
      </c>
      <c r="K119">
        <v>5</v>
      </c>
      <c r="L119" s="4">
        <v>378</v>
      </c>
      <c r="M119" s="10">
        <f t="shared" si="1"/>
        <v>1890</v>
      </c>
    </row>
    <row r="120" spans="1:13">
      <c r="A120" t="s">
        <v>238</v>
      </c>
      <c r="B120" s="9">
        <v>45688</v>
      </c>
      <c r="C120" t="s">
        <v>114</v>
      </c>
      <c r="D120" t="s">
        <v>15</v>
      </c>
      <c r="E120" t="s">
        <v>51</v>
      </c>
      <c r="F120" t="s">
        <v>45</v>
      </c>
      <c r="G120" t="s">
        <v>18</v>
      </c>
      <c r="H120" t="s">
        <v>28</v>
      </c>
      <c r="I120" t="s">
        <v>20</v>
      </c>
      <c r="J120" t="s">
        <v>35</v>
      </c>
      <c r="K120">
        <v>4</v>
      </c>
      <c r="L120" s="4">
        <v>1774</v>
      </c>
      <c r="M120" s="10">
        <f t="shared" si="1"/>
        <v>7096</v>
      </c>
    </row>
    <row r="121" spans="1:13">
      <c r="A121" t="s">
        <v>239</v>
      </c>
      <c r="B121" s="9">
        <v>45870</v>
      </c>
      <c r="C121" t="s">
        <v>240</v>
      </c>
      <c r="D121" t="s">
        <v>15</v>
      </c>
      <c r="E121" t="s">
        <v>56</v>
      </c>
      <c r="F121" t="s">
        <v>57</v>
      </c>
      <c r="G121" t="s">
        <v>18</v>
      </c>
      <c r="H121" t="s">
        <v>19</v>
      </c>
      <c r="I121" t="s">
        <v>62</v>
      </c>
      <c r="J121" t="s">
        <v>63</v>
      </c>
      <c r="K121">
        <v>2</v>
      </c>
      <c r="L121" s="4">
        <v>24319</v>
      </c>
      <c r="M121" s="10">
        <f t="shared" si="1"/>
        <v>48638</v>
      </c>
    </row>
    <row r="122" spans="1:13">
      <c r="A122" t="s">
        <v>241</v>
      </c>
      <c r="B122" s="9">
        <v>45877</v>
      </c>
      <c r="C122" t="s">
        <v>145</v>
      </c>
      <c r="D122" t="s">
        <v>24</v>
      </c>
      <c r="E122" t="s">
        <v>56</v>
      </c>
      <c r="F122" t="s">
        <v>57</v>
      </c>
      <c r="G122" t="s">
        <v>18</v>
      </c>
      <c r="H122" t="s">
        <v>58</v>
      </c>
      <c r="I122" t="s">
        <v>79</v>
      </c>
      <c r="J122" t="s">
        <v>242</v>
      </c>
      <c r="K122">
        <v>4</v>
      </c>
      <c r="L122" s="4">
        <v>4909</v>
      </c>
      <c r="M122" s="10">
        <f t="shared" si="1"/>
        <v>19636</v>
      </c>
    </row>
    <row r="123" spans="1:13">
      <c r="A123" t="s">
        <v>243</v>
      </c>
      <c r="B123" s="9">
        <v>46017</v>
      </c>
      <c r="C123" t="s">
        <v>147</v>
      </c>
      <c r="D123" t="s">
        <v>15</v>
      </c>
      <c r="E123" t="s">
        <v>56</v>
      </c>
      <c r="F123" t="s">
        <v>57</v>
      </c>
      <c r="G123" t="s">
        <v>27</v>
      </c>
      <c r="H123" t="s">
        <v>28</v>
      </c>
      <c r="I123" t="s">
        <v>39</v>
      </c>
      <c r="J123" t="s">
        <v>188</v>
      </c>
      <c r="K123">
        <v>1</v>
      </c>
      <c r="L123" s="4">
        <v>34</v>
      </c>
      <c r="M123" s="10">
        <f t="shared" si="1"/>
        <v>34</v>
      </c>
    </row>
    <row r="124" spans="1:13">
      <c r="A124" t="s">
        <v>244</v>
      </c>
      <c r="B124" s="9">
        <v>45660</v>
      </c>
      <c r="C124" t="s">
        <v>198</v>
      </c>
      <c r="D124" t="s">
        <v>24</v>
      </c>
      <c r="E124" t="s">
        <v>97</v>
      </c>
      <c r="F124" t="s">
        <v>34</v>
      </c>
      <c r="G124" t="s">
        <v>27</v>
      </c>
      <c r="H124" t="s">
        <v>19</v>
      </c>
      <c r="I124" t="s">
        <v>39</v>
      </c>
      <c r="J124" t="s">
        <v>120</v>
      </c>
      <c r="K124">
        <v>5</v>
      </c>
      <c r="L124" s="4">
        <v>315</v>
      </c>
      <c r="M124" s="10">
        <f t="shared" si="1"/>
        <v>1575</v>
      </c>
    </row>
    <row r="125" spans="1:13">
      <c r="A125" t="s">
        <v>245</v>
      </c>
      <c r="B125" s="9">
        <v>45702</v>
      </c>
      <c r="C125" t="s">
        <v>158</v>
      </c>
      <c r="D125" t="s">
        <v>43</v>
      </c>
      <c r="E125" t="s">
        <v>105</v>
      </c>
      <c r="F125" t="s">
        <v>45</v>
      </c>
      <c r="G125" t="s">
        <v>27</v>
      </c>
      <c r="H125" t="s">
        <v>46</v>
      </c>
      <c r="I125" t="s">
        <v>47</v>
      </c>
      <c r="J125" t="s">
        <v>77</v>
      </c>
      <c r="K125">
        <v>4</v>
      </c>
      <c r="L125" s="4">
        <v>487</v>
      </c>
      <c r="M125" s="10">
        <f t="shared" si="1"/>
        <v>1948</v>
      </c>
    </row>
    <row r="126" spans="1:13">
      <c r="A126" t="s">
        <v>246</v>
      </c>
      <c r="B126" s="9">
        <v>45951</v>
      </c>
      <c r="C126" t="s">
        <v>114</v>
      </c>
      <c r="D126" t="s">
        <v>43</v>
      </c>
      <c r="E126" t="s">
        <v>51</v>
      </c>
      <c r="F126" t="s">
        <v>45</v>
      </c>
      <c r="G126" t="s">
        <v>27</v>
      </c>
      <c r="H126" t="s">
        <v>28</v>
      </c>
      <c r="I126" t="s">
        <v>59</v>
      </c>
      <c r="J126" t="s">
        <v>66</v>
      </c>
      <c r="K126">
        <v>3</v>
      </c>
      <c r="L126" s="4">
        <v>318</v>
      </c>
      <c r="M126" s="10">
        <f t="shared" si="1"/>
        <v>954</v>
      </c>
    </row>
    <row r="127" spans="1:13">
      <c r="A127" t="s">
        <v>247</v>
      </c>
      <c r="B127" s="9">
        <v>45671</v>
      </c>
      <c r="C127" t="s">
        <v>145</v>
      </c>
      <c r="D127" t="s">
        <v>15</v>
      </c>
      <c r="E127" t="s">
        <v>38</v>
      </c>
      <c r="F127" t="s">
        <v>34</v>
      </c>
      <c r="G127" t="s">
        <v>52</v>
      </c>
      <c r="H127" t="s">
        <v>28</v>
      </c>
      <c r="I127" t="s">
        <v>47</v>
      </c>
      <c r="J127" t="s">
        <v>103</v>
      </c>
      <c r="K127">
        <v>3</v>
      </c>
      <c r="L127" s="4">
        <v>235</v>
      </c>
      <c r="M127" s="10">
        <f t="shared" si="1"/>
        <v>705</v>
      </c>
    </row>
    <row r="128" spans="1:13">
      <c r="A128" t="s">
        <v>248</v>
      </c>
      <c r="B128" s="9">
        <v>45881</v>
      </c>
      <c r="C128" t="s">
        <v>174</v>
      </c>
      <c r="D128" t="s">
        <v>43</v>
      </c>
      <c r="E128" t="s">
        <v>57</v>
      </c>
      <c r="F128" t="s">
        <v>57</v>
      </c>
      <c r="G128" t="s">
        <v>27</v>
      </c>
      <c r="H128" t="s">
        <v>46</v>
      </c>
      <c r="I128" t="s">
        <v>29</v>
      </c>
      <c r="J128" t="s">
        <v>92</v>
      </c>
      <c r="K128">
        <v>3</v>
      </c>
      <c r="L128" s="4">
        <v>7652</v>
      </c>
      <c r="M128" s="10">
        <f t="shared" si="1"/>
        <v>22956</v>
      </c>
    </row>
    <row r="129" spans="1:13">
      <c r="A129" t="s">
        <v>249</v>
      </c>
      <c r="B129" s="9">
        <v>45828</v>
      </c>
      <c r="C129" t="s">
        <v>118</v>
      </c>
      <c r="D129" t="s">
        <v>43</v>
      </c>
      <c r="E129" t="s">
        <v>33</v>
      </c>
      <c r="F129" t="s">
        <v>34</v>
      </c>
      <c r="G129" t="s">
        <v>18</v>
      </c>
      <c r="H129" t="s">
        <v>46</v>
      </c>
      <c r="I129" t="s">
        <v>79</v>
      </c>
      <c r="J129" t="s">
        <v>242</v>
      </c>
      <c r="K129">
        <v>3</v>
      </c>
      <c r="L129" s="4">
        <v>2749</v>
      </c>
      <c r="M129" s="10">
        <f t="shared" si="1"/>
        <v>8247</v>
      </c>
    </row>
    <row r="130" spans="1:13">
      <c r="A130" t="s">
        <v>250</v>
      </c>
      <c r="B130" s="9">
        <v>46012</v>
      </c>
      <c r="C130" t="s">
        <v>42</v>
      </c>
      <c r="D130" t="s">
        <v>15</v>
      </c>
      <c r="E130" t="s">
        <v>69</v>
      </c>
      <c r="F130" t="s">
        <v>45</v>
      </c>
      <c r="G130" t="s">
        <v>27</v>
      </c>
      <c r="H130" t="s">
        <v>46</v>
      </c>
      <c r="I130" t="s">
        <v>20</v>
      </c>
      <c r="J130" t="s">
        <v>35</v>
      </c>
      <c r="K130">
        <v>5</v>
      </c>
      <c r="L130" s="4">
        <v>736</v>
      </c>
      <c r="M130" s="10">
        <f t="shared" ref="M130:M193" si="2">K130*L130</f>
        <v>3680</v>
      </c>
    </row>
    <row r="131" spans="1:13">
      <c r="A131" t="s">
        <v>251</v>
      </c>
      <c r="B131" s="9">
        <v>45976</v>
      </c>
      <c r="C131" t="s">
        <v>71</v>
      </c>
      <c r="D131" t="s">
        <v>24</v>
      </c>
      <c r="E131" t="s">
        <v>16</v>
      </c>
      <c r="F131" t="s">
        <v>17</v>
      </c>
      <c r="G131" t="s">
        <v>18</v>
      </c>
      <c r="H131" t="s">
        <v>58</v>
      </c>
      <c r="I131" t="s">
        <v>106</v>
      </c>
      <c r="J131" t="s">
        <v>133</v>
      </c>
      <c r="K131">
        <v>2</v>
      </c>
      <c r="L131" s="4">
        <v>1722</v>
      </c>
      <c r="M131" s="10">
        <f t="shared" si="2"/>
        <v>3444</v>
      </c>
    </row>
    <row r="132" spans="1:13">
      <c r="A132" t="s">
        <v>252</v>
      </c>
      <c r="B132" s="9">
        <v>45865</v>
      </c>
      <c r="C132" t="s">
        <v>213</v>
      </c>
      <c r="D132" t="s">
        <v>24</v>
      </c>
      <c r="E132" t="s">
        <v>84</v>
      </c>
      <c r="F132" t="s">
        <v>26</v>
      </c>
      <c r="G132" t="s">
        <v>27</v>
      </c>
      <c r="H132" t="s">
        <v>28</v>
      </c>
      <c r="I132" t="s">
        <v>47</v>
      </c>
      <c r="J132" t="s">
        <v>172</v>
      </c>
      <c r="K132">
        <v>1</v>
      </c>
      <c r="L132" s="4">
        <v>206</v>
      </c>
      <c r="M132" s="10">
        <f t="shared" si="2"/>
        <v>206</v>
      </c>
    </row>
    <row r="133" spans="1:13">
      <c r="A133" t="s">
        <v>253</v>
      </c>
      <c r="B133" s="9">
        <v>45684</v>
      </c>
      <c r="C133" t="s">
        <v>110</v>
      </c>
      <c r="D133" t="s">
        <v>43</v>
      </c>
      <c r="E133" t="s">
        <v>56</v>
      </c>
      <c r="F133" t="s">
        <v>57</v>
      </c>
      <c r="G133" t="s">
        <v>27</v>
      </c>
      <c r="H133" t="s">
        <v>19</v>
      </c>
      <c r="I133" t="s">
        <v>59</v>
      </c>
      <c r="J133" t="s">
        <v>66</v>
      </c>
      <c r="K133">
        <v>2</v>
      </c>
      <c r="L133" s="4">
        <v>164</v>
      </c>
      <c r="M133" s="10">
        <f t="shared" si="2"/>
        <v>328</v>
      </c>
    </row>
    <row r="134" spans="1:13">
      <c r="A134" t="s">
        <v>254</v>
      </c>
      <c r="B134" s="9">
        <v>45866</v>
      </c>
      <c r="C134" t="s">
        <v>195</v>
      </c>
      <c r="D134" t="s">
        <v>15</v>
      </c>
      <c r="E134" t="s">
        <v>38</v>
      </c>
      <c r="F134" t="s">
        <v>34</v>
      </c>
      <c r="G134" t="s">
        <v>18</v>
      </c>
      <c r="H134" t="s">
        <v>28</v>
      </c>
      <c r="I134" t="s">
        <v>79</v>
      </c>
      <c r="J134" t="s">
        <v>138</v>
      </c>
      <c r="K134">
        <v>1</v>
      </c>
      <c r="L134" s="4">
        <v>4468</v>
      </c>
      <c r="M134" s="10">
        <f t="shared" si="2"/>
        <v>4468</v>
      </c>
    </row>
    <row r="135" spans="1:13">
      <c r="A135" t="s">
        <v>255</v>
      </c>
      <c r="B135" s="9">
        <v>45745</v>
      </c>
      <c r="C135" t="s">
        <v>202</v>
      </c>
      <c r="D135" t="s">
        <v>24</v>
      </c>
      <c r="E135" t="s">
        <v>69</v>
      </c>
      <c r="F135" t="s">
        <v>45</v>
      </c>
      <c r="G135" t="s">
        <v>72</v>
      </c>
      <c r="H135" t="s">
        <v>28</v>
      </c>
      <c r="I135" t="s">
        <v>62</v>
      </c>
      <c r="J135" t="s">
        <v>256</v>
      </c>
      <c r="K135">
        <v>1</v>
      </c>
      <c r="L135" s="4">
        <v>10927</v>
      </c>
      <c r="M135" s="10">
        <f t="shared" si="2"/>
        <v>10927</v>
      </c>
    </row>
    <row r="136" spans="1:13">
      <c r="A136" t="s">
        <v>257</v>
      </c>
      <c r="B136" s="9">
        <v>46010</v>
      </c>
      <c r="C136" t="s">
        <v>176</v>
      </c>
      <c r="D136" t="s">
        <v>15</v>
      </c>
      <c r="E136" t="s">
        <v>84</v>
      </c>
      <c r="F136" t="s">
        <v>26</v>
      </c>
      <c r="G136" t="s">
        <v>18</v>
      </c>
      <c r="H136" t="s">
        <v>19</v>
      </c>
      <c r="I136" t="s">
        <v>79</v>
      </c>
      <c r="J136" t="s">
        <v>138</v>
      </c>
      <c r="K136">
        <v>1</v>
      </c>
      <c r="L136" s="4">
        <v>1466</v>
      </c>
      <c r="M136" s="10">
        <f t="shared" si="2"/>
        <v>1466</v>
      </c>
    </row>
    <row r="137" spans="1:13">
      <c r="A137" t="s">
        <v>258</v>
      </c>
      <c r="B137" s="9">
        <v>45838</v>
      </c>
      <c r="C137" t="s">
        <v>174</v>
      </c>
      <c r="D137" t="s">
        <v>24</v>
      </c>
      <c r="E137" t="s">
        <v>97</v>
      </c>
      <c r="F137" t="s">
        <v>34</v>
      </c>
      <c r="G137" t="s">
        <v>18</v>
      </c>
      <c r="H137" t="s">
        <v>46</v>
      </c>
      <c r="I137" t="s">
        <v>79</v>
      </c>
      <c r="J137" t="s">
        <v>138</v>
      </c>
      <c r="K137">
        <v>3</v>
      </c>
      <c r="L137" s="4">
        <v>2612</v>
      </c>
      <c r="M137" s="10">
        <f t="shared" si="2"/>
        <v>7836</v>
      </c>
    </row>
    <row r="138" spans="1:13">
      <c r="A138" t="s">
        <v>259</v>
      </c>
      <c r="B138" s="9">
        <v>45994</v>
      </c>
      <c r="C138" t="s">
        <v>176</v>
      </c>
      <c r="D138" t="s">
        <v>24</v>
      </c>
      <c r="E138" t="s">
        <v>17</v>
      </c>
      <c r="F138" t="s">
        <v>17</v>
      </c>
      <c r="G138" t="s">
        <v>18</v>
      </c>
      <c r="H138" t="s">
        <v>19</v>
      </c>
      <c r="I138" t="s">
        <v>79</v>
      </c>
      <c r="J138" t="s">
        <v>80</v>
      </c>
      <c r="K138">
        <v>2</v>
      </c>
      <c r="L138" s="4">
        <v>350</v>
      </c>
      <c r="M138" s="10">
        <f t="shared" si="2"/>
        <v>700</v>
      </c>
    </row>
    <row r="139" spans="1:13">
      <c r="A139" t="s">
        <v>260</v>
      </c>
      <c r="B139" s="9">
        <v>45995</v>
      </c>
      <c r="C139" t="s">
        <v>42</v>
      </c>
      <c r="D139" t="s">
        <v>15</v>
      </c>
      <c r="E139" t="s">
        <v>51</v>
      </c>
      <c r="F139" t="s">
        <v>45</v>
      </c>
      <c r="G139" t="s">
        <v>18</v>
      </c>
      <c r="H139" t="s">
        <v>28</v>
      </c>
      <c r="I139" t="s">
        <v>29</v>
      </c>
      <c r="J139" t="s">
        <v>100</v>
      </c>
      <c r="K139">
        <v>1</v>
      </c>
      <c r="L139" s="4">
        <v>1035</v>
      </c>
      <c r="M139" s="10">
        <f t="shared" si="2"/>
        <v>1035</v>
      </c>
    </row>
    <row r="140" spans="1:13">
      <c r="A140" t="s">
        <v>261</v>
      </c>
      <c r="B140" s="9">
        <v>45658</v>
      </c>
      <c r="C140" t="s">
        <v>32</v>
      </c>
      <c r="D140" t="s">
        <v>15</v>
      </c>
      <c r="E140" t="s">
        <v>44</v>
      </c>
      <c r="F140" t="s">
        <v>45</v>
      </c>
      <c r="G140" t="s">
        <v>18</v>
      </c>
      <c r="H140" t="s">
        <v>19</v>
      </c>
      <c r="I140" t="s">
        <v>47</v>
      </c>
      <c r="J140" t="s">
        <v>103</v>
      </c>
      <c r="K140">
        <v>3</v>
      </c>
      <c r="L140" s="4">
        <v>218</v>
      </c>
      <c r="M140" s="10">
        <f t="shared" si="2"/>
        <v>654</v>
      </c>
    </row>
    <row r="141" spans="1:13">
      <c r="A141" t="s">
        <v>262</v>
      </c>
      <c r="B141" s="9">
        <v>45689</v>
      </c>
      <c r="C141" t="s">
        <v>91</v>
      </c>
      <c r="D141" t="s">
        <v>15</v>
      </c>
      <c r="E141" t="s">
        <v>25</v>
      </c>
      <c r="F141" t="s">
        <v>26</v>
      </c>
      <c r="G141" t="s">
        <v>27</v>
      </c>
      <c r="H141" t="s">
        <v>46</v>
      </c>
      <c r="I141" t="s">
        <v>29</v>
      </c>
      <c r="J141" t="s">
        <v>30</v>
      </c>
      <c r="K141">
        <v>3</v>
      </c>
      <c r="L141" s="4">
        <v>2824</v>
      </c>
      <c r="M141" s="10">
        <f t="shared" si="2"/>
        <v>8472</v>
      </c>
    </row>
    <row r="142" spans="1:13">
      <c r="A142" t="s">
        <v>263</v>
      </c>
      <c r="B142" s="9">
        <v>45884</v>
      </c>
      <c r="C142" t="s">
        <v>160</v>
      </c>
      <c r="D142" t="s">
        <v>15</v>
      </c>
      <c r="E142" t="s">
        <v>57</v>
      </c>
      <c r="F142" t="s">
        <v>57</v>
      </c>
      <c r="G142" t="s">
        <v>18</v>
      </c>
      <c r="H142" t="s">
        <v>28</v>
      </c>
      <c r="I142" t="s">
        <v>79</v>
      </c>
      <c r="J142" t="s">
        <v>89</v>
      </c>
      <c r="K142">
        <v>1</v>
      </c>
      <c r="L142" s="4">
        <v>317</v>
      </c>
      <c r="M142" s="10">
        <f t="shared" si="2"/>
        <v>317</v>
      </c>
    </row>
    <row r="143" spans="1:13">
      <c r="A143" t="s">
        <v>264</v>
      </c>
      <c r="B143" s="9">
        <v>46003</v>
      </c>
      <c r="C143" t="s">
        <v>184</v>
      </c>
      <c r="D143" t="s">
        <v>15</v>
      </c>
      <c r="E143" t="s">
        <v>17</v>
      </c>
      <c r="F143" t="s">
        <v>17</v>
      </c>
      <c r="G143" t="s">
        <v>27</v>
      </c>
      <c r="H143" t="s">
        <v>19</v>
      </c>
      <c r="I143" t="s">
        <v>62</v>
      </c>
      <c r="J143" t="s">
        <v>87</v>
      </c>
      <c r="K143">
        <v>1</v>
      </c>
      <c r="L143" s="4">
        <v>4913</v>
      </c>
      <c r="M143" s="10">
        <f t="shared" si="2"/>
        <v>4913</v>
      </c>
    </row>
    <row r="144" spans="1:13">
      <c r="A144" t="s">
        <v>265</v>
      </c>
      <c r="B144" s="9">
        <v>45701</v>
      </c>
      <c r="C144" t="s">
        <v>195</v>
      </c>
      <c r="D144" t="s">
        <v>24</v>
      </c>
      <c r="E144" t="s">
        <v>105</v>
      </c>
      <c r="F144" t="s">
        <v>45</v>
      </c>
      <c r="G144" t="s">
        <v>52</v>
      </c>
      <c r="H144" t="s">
        <v>28</v>
      </c>
      <c r="I144" t="s">
        <v>62</v>
      </c>
      <c r="J144" t="s">
        <v>73</v>
      </c>
      <c r="K144">
        <v>3</v>
      </c>
      <c r="L144" s="4">
        <v>11264</v>
      </c>
      <c r="M144" s="10">
        <f t="shared" si="2"/>
        <v>33792</v>
      </c>
    </row>
    <row r="145" spans="1:13">
      <c r="A145" t="s">
        <v>266</v>
      </c>
      <c r="B145" s="9">
        <v>45931</v>
      </c>
      <c r="C145" t="s">
        <v>213</v>
      </c>
      <c r="D145" t="s">
        <v>15</v>
      </c>
      <c r="E145" t="s">
        <v>44</v>
      </c>
      <c r="F145" t="s">
        <v>45</v>
      </c>
      <c r="G145" t="s">
        <v>27</v>
      </c>
      <c r="H145" t="s">
        <v>19</v>
      </c>
      <c r="I145" t="s">
        <v>39</v>
      </c>
      <c r="J145" t="s">
        <v>40</v>
      </c>
      <c r="K145">
        <v>3</v>
      </c>
      <c r="L145" s="4">
        <v>436</v>
      </c>
      <c r="M145" s="10">
        <f t="shared" si="2"/>
        <v>1308</v>
      </c>
    </row>
    <row r="146" spans="1:13">
      <c r="A146" t="s">
        <v>267</v>
      </c>
      <c r="B146" s="9">
        <v>45862</v>
      </c>
      <c r="C146" t="s">
        <v>50</v>
      </c>
      <c r="D146" t="s">
        <v>15</v>
      </c>
      <c r="E146" t="s">
        <v>16</v>
      </c>
      <c r="F146" t="s">
        <v>17</v>
      </c>
      <c r="G146" t="s">
        <v>27</v>
      </c>
      <c r="H146" t="s">
        <v>46</v>
      </c>
      <c r="I146" t="s">
        <v>47</v>
      </c>
      <c r="J146" t="s">
        <v>172</v>
      </c>
      <c r="K146">
        <v>2</v>
      </c>
      <c r="L146" s="4">
        <v>318</v>
      </c>
      <c r="M146" s="10">
        <f t="shared" si="2"/>
        <v>636</v>
      </c>
    </row>
    <row r="147" spans="1:13">
      <c r="A147" t="s">
        <v>268</v>
      </c>
      <c r="B147" s="9">
        <v>45889</v>
      </c>
      <c r="C147" t="s">
        <v>65</v>
      </c>
      <c r="D147" t="s">
        <v>43</v>
      </c>
      <c r="E147" t="s">
        <v>16</v>
      </c>
      <c r="F147" t="s">
        <v>17</v>
      </c>
      <c r="G147" t="s">
        <v>18</v>
      </c>
      <c r="H147" t="s">
        <v>46</v>
      </c>
      <c r="I147" t="s">
        <v>79</v>
      </c>
      <c r="J147" t="s">
        <v>80</v>
      </c>
      <c r="K147">
        <v>1</v>
      </c>
      <c r="L147" s="4">
        <v>924</v>
      </c>
      <c r="M147" s="10">
        <f t="shared" si="2"/>
        <v>924</v>
      </c>
    </row>
    <row r="148" spans="1:13">
      <c r="A148" t="s">
        <v>269</v>
      </c>
      <c r="B148" s="9">
        <v>45753</v>
      </c>
      <c r="C148" t="s">
        <v>50</v>
      </c>
      <c r="D148" t="s">
        <v>15</v>
      </c>
      <c r="E148" t="s">
        <v>69</v>
      </c>
      <c r="F148" t="s">
        <v>45</v>
      </c>
      <c r="G148" t="s">
        <v>18</v>
      </c>
      <c r="H148" t="s">
        <v>28</v>
      </c>
      <c r="I148" t="s">
        <v>79</v>
      </c>
      <c r="J148" t="s">
        <v>80</v>
      </c>
      <c r="K148">
        <v>5</v>
      </c>
      <c r="L148" s="4">
        <v>3051</v>
      </c>
      <c r="M148" s="10">
        <f t="shared" si="2"/>
        <v>15255</v>
      </c>
    </row>
    <row r="149" spans="1:13">
      <c r="A149" t="s">
        <v>270</v>
      </c>
      <c r="B149" s="9">
        <v>45734</v>
      </c>
      <c r="C149" t="s">
        <v>271</v>
      </c>
      <c r="D149" t="s">
        <v>15</v>
      </c>
      <c r="E149" t="s">
        <v>97</v>
      </c>
      <c r="F149" t="s">
        <v>34</v>
      </c>
      <c r="G149" t="s">
        <v>27</v>
      </c>
      <c r="H149" t="s">
        <v>28</v>
      </c>
      <c r="I149" t="s">
        <v>39</v>
      </c>
      <c r="J149" t="s">
        <v>125</v>
      </c>
      <c r="K149">
        <v>3</v>
      </c>
      <c r="L149" s="4">
        <v>177</v>
      </c>
      <c r="M149" s="10">
        <f t="shared" si="2"/>
        <v>531</v>
      </c>
    </row>
    <row r="150" spans="1:13">
      <c r="A150" t="s">
        <v>272</v>
      </c>
      <c r="B150" s="9">
        <v>45839</v>
      </c>
      <c r="C150" t="s">
        <v>209</v>
      </c>
      <c r="D150" t="s">
        <v>15</v>
      </c>
      <c r="E150" t="s">
        <v>57</v>
      </c>
      <c r="F150" t="s">
        <v>57</v>
      </c>
      <c r="G150" t="s">
        <v>72</v>
      </c>
      <c r="H150" t="s">
        <v>28</v>
      </c>
      <c r="I150" t="s">
        <v>39</v>
      </c>
      <c r="J150" t="s">
        <v>188</v>
      </c>
      <c r="K150">
        <v>4</v>
      </c>
      <c r="L150" s="4">
        <v>395</v>
      </c>
      <c r="M150" s="10">
        <f t="shared" si="2"/>
        <v>1580</v>
      </c>
    </row>
    <row r="151" spans="1:13">
      <c r="A151" t="s">
        <v>273</v>
      </c>
      <c r="B151" s="9">
        <v>45876</v>
      </c>
      <c r="C151" t="s">
        <v>55</v>
      </c>
      <c r="D151" t="s">
        <v>15</v>
      </c>
      <c r="E151" t="s">
        <v>16</v>
      </c>
      <c r="F151" t="s">
        <v>17</v>
      </c>
      <c r="G151" t="s">
        <v>27</v>
      </c>
      <c r="H151" t="s">
        <v>46</v>
      </c>
      <c r="I151" t="s">
        <v>59</v>
      </c>
      <c r="J151" t="s">
        <v>60</v>
      </c>
      <c r="K151">
        <v>1</v>
      </c>
      <c r="L151" s="4">
        <v>152</v>
      </c>
      <c r="M151" s="10">
        <f t="shared" si="2"/>
        <v>152</v>
      </c>
    </row>
    <row r="152" spans="1:13">
      <c r="A152" t="s">
        <v>274</v>
      </c>
      <c r="B152" s="9">
        <v>45747</v>
      </c>
      <c r="C152" t="s">
        <v>99</v>
      </c>
      <c r="D152" t="s">
        <v>43</v>
      </c>
      <c r="E152" t="s">
        <v>44</v>
      </c>
      <c r="F152" t="s">
        <v>45</v>
      </c>
      <c r="G152" t="s">
        <v>18</v>
      </c>
      <c r="H152" t="s">
        <v>19</v>
      </c>
      <c r="I152" t="s">
        <v>20</v>
      </c>
      <c r="J152" t="s">
        <v>35</v>
      </c>
      <c r="K152">
        <v>5</v>
      </c>
      <c r="L152" s="4">
        <v>549</v>
      </c>
      <c r="M152" s="10">
        <f t="shared" si="2"/>
        <v>2745</v>
      </c>
    </row>
    <row r="153" spans="1:13">
      <c r="A153" t="s">
        <v>275</v>
      </c>
      <c r="B153" s="9">
        <v>45958</v>
      </c>
      <c r="C153" t="s">
        <v>23</v>
      </c>
      <c r="D153" t="s">
        <v>24</v>
      </c>
      <c r="E153" t="s">
        <v>69</v>
      </c>
      <c r="F153" t="s">
        <v>45</v>
      </c>
      <c r="G153" t="s">
        <v>27</v>
      </c>
      <c r="H153" t="s">
        <v>28</v>
      </c>
      <c r="I153" t="s">
        <v>59</v>
      </c>
      <c r="J153" t="s">
        <v>66</v>
      </c>
      <c r="K153">
        <v>5</v>
      </c>
      <c r="L153" s="4">
        <v>229</v>
      </c>
      <c r="M153" s="10">
        <f t="shared" si="2"/>
        <v>1145</v>
      </c>
    </row>
    <row r="154" spans="1:13">
      <c r="A154" t="s">
        <v>276</v>
      </c>
      <c r="B154" s="9">
        <v>45835</v>
      </c>
      <c r="C154" t="s">
        <v>65</v>
      </c>
      <c r="D154" t="s">
        <v>24</v>
      </c>
      <c r="E154" t="s">
        <v>57</v>
      </c>
      <c r="F154" t="s">
        <v>57</v>
      </c>
      <c r="G154" t="s">
        <v>72</v>
      </c>
      <c r="H154" t="s">
        <v>46</v>
      </c>
      <c r="I154" t="s">
        <v>47</v>
      </c>
      <c r="J154" t="s">
        <v>172</v>
      </c>
      <c r="K154">
        <v>3</v>
      </c>
      <c r="L154" s="4">
        <v>75</v>
      </c>
      <c r="M154" s="10">
        <f t="shared" si="2"/>
        <v>225</v>
      </c>
    </row>
    <row r="155" spans="1:13">
      <c r="A155" t="s">
        <v>277</v>
      </c>
      <c r="B155" s="9">
        <v>45726</v>
      </c>
      <c r="C155" t="s">
        <v>176</v>
      </c>
      <c r="D155" t="s">
        <v>15</v>
      </c>
      <c r="E155" t="s">
        <v>111</v>
      </c>
      <c r="F155" t="s">
        <v>26</v>
      </c>
      <c r="G155" t="s">
        <v>18</v>
      </c>
      <c r="H155" t="s">
        <v>28</v>
      </c>
      <c r="I155" t="s">
        <v>79</v>
      </c>
      <c r="J155" t="s">
        <v>80</v>
      </c>
      <c r="K155">
        <v>4</v>
      </c>
      <c r="L155" s="4">
        <v>5733</v>
      </c>
      <c r="M155" s="10">
        <f t="shared" si="2"/>
        <v>22932</v>
      </c>
    </row>
    <row r="156" spans="1:13">
      <c r="A156" t="s">
        <v>278</v>
      </c>
      <c r="B156" s="9">
        <v>46000</v>
      </c>
      <c r="C156" t="s">
        <v>158</v>
      </c>
      <c r="D156" t="s">
        <v>43</v>
      </c>
      <c r="E156" t="s">
        <v>16</v>
      </c>
      <c r="F156" t="s">
        <v>17</v>
      </c>
      <c r="G156" t="s">
        <v>18</v>
      </c>
      <c r="H156" t="s">
        <v>46</v>
      </c>
      <c r="I156" t="s">
        <v>59</v>
      </c>
      <c r="J156" t="s">
        <v>60</v>
      </c>
      <c r="K156">
        <v>5</v>
      </c>
      <c r="L156" s="4">
        <v>1019</v>
      </c>
      <c r="M156" s="10">
        <f t="shared" si="2"/>
        <v>5095</v>
      </c>
    </row>
    <row r="157" spans="1:13">
      <c r="A157" t="s">
        <v>279</v>
      </c>
      <c r="B157" s="9">
        <v>45858</v>
      </c>
      <c r="C157" t="s">
        <v>140</v>
      </c>
      <c r="D157" t="s">
        <v>24</v>
      </c>
      <c r="E157" t="s">
        <v>56</v>
      </c>
      <c r="F157" t="s">
        <v>57</v>
      </c>
      <c r="G157" t="s">
        <v>27</v>
      </c>
      <c r="H157" t="s">
        <v>46</v>
      </c>
      <c r="I157" t="s">
        <v>39</v>
      </c>
      <c r="J157" t="s">
        <v>120</v>
      </c>
      <c r="K157">
        <v>5</v>
      </c>
      <c r="L157" s="4">
        <v>287</v>
      </c>
      <c r="M157" s="10">
        <f t="shared" si="2"/>
        <v>1435</v>
      </c>
    </row>
    <row r="158" spans="1:13">
      <c r="A158" t="s">
        <v>280</v>
      </c>
      <c r="B158" s="9">
        <v>45696</v>
      </c>
      <c r="C158" t="s">
        <v>176</v>
      </c>
      <c r="D158" t="s">
        <v>15</v>
      </c>
      <c r="E158" t="s">
        <v>44</v>
      </c>
      <c r="F158" t="s">
        <v>45</v>
      </c>
      <c r="G158" t="s">
        <v>52</v>
      </c>
      <c r="H158" t="s">
        <v>46</v>
      </c>
      <c r="I158" t="s">
        <v>39</v>
      </c>
      <c r="J158" t="s">
        <v>40</v>
      </c>
      <c r="K158">
        <v>4</v>
      </c>
      <c r="L158" s="4">
        <v>262</v>
      </c>
      <c r="M158" s="10">
        <f t="shared" si="2"/>
        <v>1048</v>
      </c>
    </row>
    <row r="159" spans="1:13">
      <c r="A159" t="s">
        <v>281</v>
      </c>
      <c r="B159" s="9">
        <v>45908</v>
      </c>
      <c r="C159" t="s">
        <v>91</v>
      </c>
      <c r="D159" t="s">
        <v>24</v>
      </c>
      <c r="E159" t="s">
        <v>51</v>
      </c>
      <c r="F159" t="s">
        <v>45</v>
      </c>
      <c r="G159" t="s">
        <v>18</v>
      </c>
      <c r="H159" t="s">
        <v>28</v>
      </c>
      <c r="I159" t="s">
        <v>47</v>
      </c>
      <c r="J159" t="s">
        <v>77</v>
      </c>
      <c r="K159">
        <v>1</v>
      </c>
      <c r="L159" s="4">
        <v>205</v>
      </c>
      <c r="M159" s="10">
        <f t="shared" si="2"/>
        <v>205</v>
      </c>
    </row>
    <row r="160" spans="1:13">
      <c r="A160" t="s">
        <v>282</v>
      </c>
      <c r="B160" s="9">
        <v>45943</v>
      </c>
      <c r="C160" t="s">
        <v>99</v>
      </c>
      <c r="D160" t="s">
        <v>15</v>
      </c>
      <c r="E160" t="s">
        <v>44</v>
      </c>
      <c r="F160" t="s">
        <v>45</v>
      </c>
      <c r="G160" t="s">
        <v>27</v>
      </c>
      <c r="H160" t="s">
        <v>58</v>
      </c>
      <c r="I160" t="s">
        <v>39</v>
      </c>
      <c r="J160" t="s">
        <v>40</v>
      </c>
      <c r="K160">
        <v>5</v>
      </c>
      <c r="L160" s="4">
        <v>221</v>
      </c>
      <c r="M160" s="10">
        <f t="shared" si="2"/>
        <v>1105</v>
      </c>
    </row>
    <row r="161" spans="1:13">
      <c r="A161" t="s">
        <v>283</v>
      </c>
      <c r="B161" s="9">
        <v>45747</v>
      </c>
      <c r="C161" t="s">
        <v>149</v>
      </c>
      <c r="D161" t="s">
        <v>15</v>
      </c>
      <c r="E161" t="s">
        <v>56</v>
      </c>
      <c r="F161" t="s">
        <v>57</v>
      </c>
      <c r="G161" t="s">
        <v>72</v>
      </c>
      <c r="H161" t="s">
        <v>46</v>
      </c>
      <c r="I161" t="s">
        <v>20</v>
      </c>
      <c r="J161" t="s">
        <v>21</v>
      </c>
      <c r="K161">
        <v>3</v>
      </c>
      <c r="L161" s="4">
        <v>1652</v>
      </c>
      <c r="M161" s="10">
        <f t="shared" si="2"/>
        <v>4956</v>
      </c>
    </row>
    <row r="162" spans="1:13">
      <c r="A162" t="s">
        <v>284</v>
      </c>
      <c r="B162" s="9">
        <v>45937</v>
      </c>
      <c r="C162" t="s">
        <v>91</v>
      </c>
      <c r="D162" t="s">
        <v>24</v>
      </c>
      <c r="E162" t="s">
        <v>33</v>
      </c>
      <c r="F162" t="s">
        <v>34</v>
      </c>
      <c r="G162" t="s">
        <v>52</v>
      </c>
      <c r="H162" t="s">
        <v>19</v>
      </c>
      <c r="I162" t="s">
        <v>79</v>
      </c>
      <c r="J162" t="s">
        <v>89</v>
      </c>
      <c r="K162">
        <v>5</v>
      </c>
      <c r="L162" s="4">
        <v>1973</v>
      </c>
      <c r="M162" s="10">
        <f t="shared" si="2"/>
        <v>9865</v>
      </c>
    </row>
    <row r="163" spans="1:13">
      <c r="A163" t="s">
        <v>285</v>
      </c>
      <c r="B163" s="9">
        <v>46004</v>
      </c>
      <c r="C163" t="s">
        <v>76</v>
      </c>
      <c r="D163" t="s">
        <v>24</v>
      </c>
      <c r="E163" t="s">
        <v>84</v>
      </c>
      <c r="F163" t="s">
        <v>26</v>
      </c>
      <c r="G163" t="s">
        <v>72</v>
      </c>
      <c r="H163" t="s">
        <v>46</v>
      </c>
      <c r="I163" t="s">
        <v>20</v>
      </c>
      <c r="J163" t="s">
        <v>21</v>
      </c>
      <c r="K163">
        <v>2</v>
      </c>
      <c r="L163" s="4">
        <v>1650</v>
      </c>
      <c r="M163" s="10">
        <f t="shared" si="2"/>
        <v>3300</v>
      </c>
    </row>
    <row r="164" spans="1:13">
      <c r="A164" t="s">
        <v>286</v>
      </c>
      <c r="B164" s="9">
        <v>45932</v>
      </c>
      <c r="C164" t="s">
        <v>91</v>
      </c>
      <c r="D164" t="s">
        <v>15</v>
      </c>
      <c r="E164" t="s">
        <v>33</v>
      </c>
      <c r="F164" t="s">
        <v>34</v>
      </c>
      <c r="G164" t="s">
        <v>18</v>
      </c>
      <c r="H164" t="s">
        <v>28</v>
      </c>
      <c r="I164" t="s">
        <v>106</v>
      </c>
      <c r="J164" t="s">
        <v>190</v>
      </c>
      <c r="K164">
        <v>1</v>
      </c>
      <c r="L164" s="4">
        <v>1107</v>
      </c>
      <c r="M164" s="10">
        <f t="shared" si="2"/>
        <v>1107</v>
      </c>
    </row>
    <row r="165" spans="1:13">
      <c r="A165" t="s">
        <v>287</v>
      </c>
      <c r="B165" s="9">
        <v>45690</v>
      </c>
      <c r="C165" t="s">
        <v>129</v>
      </c>
      <c r="D165" t="s">
        <v>24</v>
      </c>
      <c r="E165" t="s">
        <v>16</v>
      </c>
      <c r="F165" t="s">
        <v>17</v>
      </c>
      <c r="G165" t="s">
        <v>27</v>
      </c>
      <c r="H165" t="s">
        <v>28</v>
      </c>
      <c r="I165" t="s">
        <v>39</v>
      </c>
      <c r="J165" t="s">
        <v>120</v>
      </c>
      <c r="K165">
        <v>5</v>
      </c>
      <c r="L165" s="4">
        <v>317</v>
      </c>
      <c r="M165" s="10">
        <f t="shared" si="2"/>
        <v>1585</v>
      </c>
    </row>
    <row r="166" spans="1:13">
      <c r="A166" t="s">
        <v>288</v>
      </c>
      <c r="B166" s="9">
        <v>45683</v>
      </c>
      <c r="C166" t="s">
        <v>209</v>
      </c>
      <c r="D166" t="s">
        <v>15</v>
      </c>
      <c r="E166" t="s">
        <v>25</v>
      </c>
      <c r="F166" t="s">
        <v>26</v>
      </c>
      <c r="G166" t="s">
        <v>27</v>
      </c>
      <c r="H166" t="s">
        <v>46</v>
      </c>
      <c r="I166" t="s">
        <v>39</v>
      </c>
      <c r="J166" t="s">
        <v>188</v>
      </c>
      <c r="K166">
        <v>2</v>
      </c>
      <c r="L166" s="4">
        <v>100</v>
      </c>
      <c r="M166" s="10">
        <f t="shared" si="2"/>
        <v>200</v>
      </c>
    </row>
    <row r="167" spans="1:13">
      <c r="A167" t="s">
        <v>289</v>
      </c>
      <c r="B167" s="9">
        <v>45793</v>
      </c>
      <c r="C167" t="s">
        <v>32</v>
      </c>
      <c r="D167" t="s">
        <v>24</v>
      </c>
      <c r="E167" t="s">
        <v>57</v>
      </c>
      <c r="F167" t="s">
        <v>57</v>
      </c>
      <c r="G167" t="s">
        <v>27</v>
      </c>
      <c r="H167" t="s">
        <v>28</v>
      </c>
      <c r="I167" t="s">
        <v>29</v>
      </c>
      <c r="J167" t="s">
        <v>92</v>
      </c>
      <c r="K167">
        <v>5</v>
      </c>
      <c r="L167" s="4">
        <v>6748</v>
      </c>
      <c r="M167" s="10">
        <f t="shared" si="2"/>
        <v>33740</v>
      </c>
    </row>
    <row r="168" spans="1:13">
      <c r="A168" t="s">
        <v>290</v>
      </c>
      <c r="B168" s="9">
        <v>45808</v>
      </c>
      <c r="C168" t="s">
        <v>160</v>
      </c>
      <c r="D168" t="s">
        <v>24</v>
      </c>
      <c r="E168" t="s">
        <v>17</v>
      </c>
      <c r="F168" t="s">
        <v>17</v>
      </c>
      <c r="G168" t="s">
        <v>18</v>
      </c>
      <c r="H168" t="s">
        <v>28</v>
      </c>
      <c r="I168" t="s">
        <v>62</v>
      </c>
      <c r="J168" t="s">
        <v>73</v>
      </c>
      <c r="K168">
        <v>1</v>
      </c>
      <c r="L168" s="4">
        <v>20139</v>
      </c>
      <c r="M168" s="10">
        <f t="shared" si="2"/>
        <v>20139</v>
      </c>
    </row>
    <row r="169" spans="1:13">
      <c r="A169" t="s">
        <v>291</v>
      </c>
      <c r="B169" s="9">
        <v>45979</v>
      </c>
      <c r="C169" t="s">
        <v>147</v>
      </c>
      <c r="D169" t="s">
        <v>15</v>
      </c>
      <c r="E169" t="s">
        <v>84</v>
      </c>
      <c r="F169" t="s">
        <v>26</v>
      </c>
      <c r="G169" t="s">
        <v>27</v>
      </c>
      <c r="H169" t="s">
        <v>46</v>
      </c>
      <c r="I169" t="s">
        <v>29</v>
      </c>
      <c r="J169" t="s">
        <v>92</v>
      </c>
      <c r="K169">
        <v>4</v>
      </c>
      <c r="L169" s="4">
        <v>6136</v>
      </c>
      <c r="M169" s="10">
        <f t="shared" si="2"/>
        <v>24544</v>
      </c>
    </row>
    <row r="170" spans="1:13">
      <c r="A170" t="s">
        <v>292</v>
      </c>
      <c r="B170" s="9">
        <v>45783</v>
      </c>
      <c r="C170" t="s">
        <v>169</v>
      </c>
      <c r="D170" t="s">
        <v>43</v>
      </c>
      <c r="E170" t="s">
        <v>51</v>
      </c>
      <c r="F170" t="s">
        <v>45</v>
      </c>
      <c r="G170" t="s">
        <v>18</v>
      </c>
      <c r="H170" t="s">
        <v>28</v>
      </c>
      <c r="I170" t="s">
        <v>39</v>
      </c>
      <c r="J170" t="s">
        <v>188</v>
      </c>
      <c r="K170">
        <v>4</v>
      </c>
      <c r="L170" s="4">
        <v>243</v>
      </c>
      <c r="M170" s="10">
        <f t="shared" si="2"/>
        <v>972</v>
      </c>
    </row>
    <row r="171" spans="1:13">
      <c r="A171" t="s">
        <v>293</v>
      </c>
      <c r="B171" s="9">
        <v>45817</v>
      </c>
      <c r="C171" t="s">
        <v>132</v>
      </c>
      <c r="D171" t="s">
        <v>43</v>
      </c>
      <c r="E171" t="s">
        <v>57</v>
      </c>
      <c r="F171" t="s">
        <v>57</v>
      </c>
      <c r="G171" t="s">
        <v>18</v>
      </c>
      <c r="H171" t="s">
        <v>28</v>
      </c>
      <c r="I171" t="s">
        <v>39</v>
      </c>
      <c r="J171" t="s">
        <v>120</v>
      </c>
      <c r="K171">
        <v>3</v>
      </c>
      <c r="L171" s="4">
        <v>96</v>
      </c>
      <c r="M171" s="10">
        <f t="shared" si="2"/>
        <v>288</v>
      </c>
    </row>
    <row r="172" spans="1:13">
      <c r="A172" t="s">
        <v>294</v>
      </c>
      <c r="B172" s="9">
        <v>45813</v>
      </c>
      <c r="C172" t="s">
        <v>145</v>
      </c>
      <c r="D172" t="s">
        <v>24</v>
      </c>
      <c r="E172" t="s">
        <v>16</v>
      </c>
      <c r="F172" t="s">
        <v>17</v>
      </c>
      <c r="G172" t="s">
        <v>18</v>
      </c>
      <c r="H172" t="s">
        <v>19</v>
      </c>
      <c r="I172" t="s">
        <v>29</v>
      </c>
      <c r="J172" t="s">
        <v>153</v>
      </c>
      <c r="K172">
        <v>3</v>
      </c>
      <c r="L172" s="4">
        <v>1910</v>
      </c>
      <c r="M172" s="10">
        <f t="shared" si="2"/>
        <v>5730</v>
      </c>
    </row>
    <row r="173" spans="1:13">
      <c r="A173" t="s">
        <v>295</v>
      </c>
      <c r="B173" s="9">
        <v>45805</v>
      </c>
      <c r="C173" t="s">
        <v>37</v>
      </c>
      <c r="D173" t="s">
        <v>24</v>
      </c>
      <c r="E173" t="s">
        <v>97</v>
      </c>
      <c r="F173" t="s">
        <v>34</v>
      </c>
      <c r="G173" t="s">
        <v>27</v>
      </c>
      <c r="H173" t="s">
        <v>46</v>
      </c>
      <c r="I173" t="s">
        <v>62</v>
      </c>
      <c r="J173" t="s">
        <v>73</v>
      </c>
      <c r="K173">
        <v>2</v>
      </c>
      <c r="L173" s="4">
        <v>2744</v>
      </c>
      <c r="M173" s="10">
        <f t="shared" si="2"/>
        <v>5488</v>
      </c>
    </row>
    <row r="174" spans="1:13">
      <c r="A174" t="s">
        <v>296</v>
      </c>
      <c r="B174" s="9">
        <v>45848</v>
      </c>
      <c r="C174" t="s">
        <v>55</v>
      </c>
      <c r="D174" t="s">
        <v>24</v>
      </c>
      <c r="E174" t="s">
        <v>84</v>
      </c>
      <c r="F174" t="s">
        <v>26</v>
      </c>
      <c r="G174" t="s">
        <v>27</v>
      </c>
      <c r="H174" t="s">
        <v>58</v>
      </c>
      <c r="I174" t="s">
        <v>47</v>
      </c>
      <c r="J174" t="s">
        <v>103</v>
      </c>
      <c r="K174">
        <v>2</v>
      </c>
      <c r="L174" s="4">
        <v>300</v>
      </c>
      <c r="M174" s="10">
        <f t="shared" si="2"/>
        <v>600</v>
      </c>
    </row>
    <row r="175" spans="1:13">
      <c r="A175" t="s">
        <v>297</v>
      </c>
      <c r="B175" s="9">
        <v>45935</v>
      </c>
      <c r="C175" t="s">
        <v>94</v>
      </c>
      <c r="D175" t="s">
        <v>43</v>
      </c>
      <c r="E175" t="s">
        <v>111</v>
      </c>
      <c r="F175" t="s">
        <v>26</v>
      </c>
      <c r="G175" t="s">
        <v>27</v>
      </c>
      <c r="H175" t="s">
        <v>19</v>
      </c>
      <c r="I175" t="s">
        <v>62</v>
      </c>
      <c r="J175" t="s">
        <v>73</v>
      </c>
      <c r="K175">
        <v>4</v>
      </c>
      <c r="L175" s="4">
        <v>7206</v>
      </c>
      <c r="M175" s="10">
        <f t="shared" si="2"/>
        <v>28824</v>
      </c>
    </row>
    <row r="176" spans="1:13">
      <c r="A176" t="s">
        <v>298</v>
      </c>
      <c r="B176" s="9">
        <v>45866</v>
      </c>
      <c r="C176" t="s">
        <v>169</v>
      </c>
      <c r="D176" t="s">
        <v>15</v>
      </c>
      <c r="E176" t="s">
        <v>16</v>
      </c>
      <c r="F176" t="s">
        <v>17</v>
      </c>
      <c r="G176" t="s">
        <v>18</v>
      </c>
      <c r="H176" t="s">
        <v>28</v>
      </c>
      <c r="I176" t="s">
        <v>47</v>
      </c>
      <c r="J176" t="s">
        <v>48</v>
      </c>
      <c r="K176">
        <v>3</v>
      </c>
      <c r="L176" s="4">
        <v>343</v>
      </c>
      <c r="M176" s="10">
        <f t="shared" si="2"/>
        <v>1029</v>
      </c>
    </row>
    <row r="177" spans="1:13">
      <c r="A177" t="s">
        <v>299</v>
      </c>
      <c r="B177" s="9">
        <v>45994</v>
      </c>
      <c r="C177" t="s">
        <v>114</v>
      </c>
      <c r="D177" t="s">
        <v>24</v>
      </c>
      <c r="E177" t="s">
        <v>17</v>
      </c>
      <c r="F177" t="s">
        <v>17</v>
      </c>
      <c r="G177" t="s">
        <v>27</v>
      </c>
      <c r="H177" t="s">
        <v>19</v>
      </c>
      <c r="I177" t="s">
        <v>59</v>
      </c>
      <c r="J177" t="s">
        <v>66</v>
      </c>
      <c r="K177">
        <v>1</v>
      </c>
      <c r="L177" s="4">
        <v>1221</v>
      </c>
      <c r="M177" s="10">
        <f t="shared" si="2"/>
        <v>1221</v>
      </c>
    </row>
    <row r="178" spans="1:13">
      <c r="A178" t="s">
        <v>300</v>
      </c>
      <c r="B178" s="9">
        <v>45756</v>
      </c>
      <c r="C178" t="s">
        <v>202</v>
      </c>
      <c r="D178" t="s">
        <v>43</v>
      </c>
      <c r="E178" t="s">
        <v>56</v>
      </c>
      <c r="F178" t="s">
        <v>57</v>
      </c>
      <c r="G178" t="s">
        <v>27</v>
      </c>
      <c r="H178" t="s">
        <v>46</v>
      </c>
      <c r="I178" t="s">
        <v>20</v>
      </c>
      <c r="J178" t="s">
        <v>21</v>
      </c>
      <c r="K178">
        <v>5</v>
      </c>
      <c r="L178" s="4">
        <v>1980</v>
      </c>
      <c r="M178" s="10">
        <f t="shared" si="2"/>
        <v>9900</v>
      </c>
    </row>
    <row r="179" spans="1:13">
      <c r="A179" t="s">
        <v>301</v>
      </c>
      <c r="B179" s="9">
        <v>45904</v>
      </c>
      <c r="C179" t="s">
        <v>149</v>
      </c>
      <c r="D179" t="s">
        <v>24</v>
      </c>
      <c r="E179" t="s">
        <v>51</v>
      </c>
      <c r="F179" t="s">
        <v>45</v>
      </c>
      <c r="G179" t="s">
        <v>27</v>
      </c>
      <c r="H179" t="s">
        <v>19</v>
      </c>
      <c r="I179" t="s">
        <v>29</v>
      </c>
      <c r="J179" t="s">
        <v>153</v>
      </c>
      <c r="K179">
        <v>3</v>
      </c>
      <c r="L179" s="4">
        <v>531</v>
      </c>
      <c r="M179" s="10">
        <f t="shared" si="2"/>
        <v>1593</v>
      </c>
    </row>
    <row r="180" spans="1:13">
      <c r="A180" t="s">
        <v>302</v>
      </c>
      <c r="B180" s="9">
        <v>45934</v>
      </c>
      <c r="C180" t="s">
        <v>50</v>
      </c>
      <c r="D180" t="s">
        <v>24</v>
      </c>
      <c r="E180" t="s">
        <v>44</v>
      </c>
      <c r="F180" t="s">
        <v>45</v>
      </c>
      <c r="G180" t="s">
        <v>27</v>
      </c>
      <c r="H180" t="s">
        <v>58</v>
      </c>
      <c r="I180" t="s">
        <v>79</v>
      </c>
      <c r="J180" t="s">
        <v>89</v>
      </c>
      <c r="K180">
        <v>5</v>
      </c>
      <c r="L180" s="4">
        <v>2820</v>
      </c>
      <c r="M180" s="10">
        <f t="shared" si="2"/>
        <v>14100</v>
      </c>
    </row>
    <row r="181" spans="1:13">
      <c r="A181" t="s">
        <v>303</v>
      </c>
      <c r="B181" s="9">
        <v>45996</v>
      </c>
      <c r="C181" t="s">
        <v>240</v>
      </c>
      <c r="D181" t="s">
        <v>15</v>
      </c>
      <c r="E181" t="s">
        <v>105</v>
      </c>
      <c r="F181" t="s">
        <v>45</v>
      </c>
      <c r="G181" t="s">
        <v>52</v>
      </c>
      <c r="H181" t="s">
        <v>28</v>
      </c>
      <c r="I181" t="s">
        <v>39</v>
      </c>
      <c r="J181" t="s">
        <v>120</v>
      </c>
      <c r="K181">
        <v>1</v>
      </c>
      <c r="L181" s="4">
        <v>257</v>
      </c>
      <c r="M181" s="10">
        <f t="shared" si="2"/>
        <v>257</v>
      </c>
    </row>
    <row r="182" spans="1:13">
      <c r="A182" t="s">
        <v>304</v>
      </c>
      <c r="B182" s="9">
        <v>45721</v>
      </c>
      <c r="C182" t="s">
        <v>129</v>
      </c>
      <c r="D182" t="s">
        <v>24</v>
      </c>
      <c r="E182" t="s">
        <v>105</v>
      </c>
      <c r="F182" t="s">
        <v>45</v>
      </c>
      <c r="G182" t="s">
        <v>72</v>
      </c>
      <c r="H182" t="s">
        <v>28</v>
      </c>
      <c r="I182" t="s">
        <v>29</v>
      </c>
      <c r="J182" t="s">
        <v>100</v>
      </c>
      <c r="K182">
        <v>5</v>
      </c>
      <c r="L182" s="4">
        <v>6221</v>
      </c>
      <c r="M182" s="10">
        <f t="shared" si="2"/>
        <v>31105</v>
      </c>
    </row>
    <row r="183" spans="1:13">
      <c r="A183" t="s">
        <v>305</v>
      </c>
      <c r="B183" s="9">
        <v>45791</v>
      </c>
      <c r="C183" t="s">
        <v>94</v>
      </c>
      <c r="D183" t="s">
        <v>24</v>
      </c>
      <c r="E183" t="s">
        <v>56</v>
      </c>
      <c r="F183" t="s">
        <v>57</v>
      </c>
      <c r="G183" t="s">
        <v>18</v>
      </c>
      <c r="H183" t="s">
        <v>28</v>
      </c>
      <c r="I183" t="s">
        <v>29</v>
      </c>
      <c r="J183" t="s">
        <v>30</v>
      </c>
      <c r="K183">
        <v>3</v>
      </c>
      <c r="L183" s="4">
        <v>428</v>
      </c>
      <c r="M183" s="10">
        <f t="shared" si="2"/>
        <v>1284</v>
      </c>
    </row>
    <row r="184" spans="1:13">
      <c r="A184" t="s">
        <v>306</v>
      </c>
      <c r="B184" s="9">
        <v>45742</v>
      </c>
      <c r="C184" t="s">
        <v>55</v>
      </c>
      <c r="D184" t="s">
        <v>15</v>
      </c>
      <c r="E184" t="s">
        <v>16</v>
      </c>
      <c r="F184" t="s">
        <v>17</v>
      </c>
      <c r="G184" t="s">
        <v>27</v>
      </c>
      <c r="H184" t="s">
        <v>46</v>
      </c>
      <c r="I184" t="s">
        <v>20</v>
      </c>
      <c r="J184" t="s">
        <v>53</v>
      </c>
      <c r="K184">
        <v>1</v>
      </c>
      <c r="L184" s="4">
        <v>705</v>
      </c>
      <c r="M184" s="10">
        <f t="shared" si="2"/>
        <v>705</v>
      </c>
    </row>
    <row r="185" spans="1:13">
      <c r="A185" t="s">
        <v>307</v>
      </c>
      <c r="B185" s="9">
        <v>45659</v>
      </c>
      <c r="C185" t="s">
        <v>65</v>
      </c>
      <c r="D185" t="s">
        <v>15</v>
      </c>
      <c r="E185" t="s">
        <v>51</v>
      </c>
      <c r="F185" t="s">
        <v>45</v>
      </c>
      <c r="G185" t="s">
        <v>72</v>
      </c>
      <c r="H185" t="s">
        <v>28</v>
      </c>
      <c r="I185" t="s">
        <v>79</v>
      </c>
      <c r="J185" t="s">
        <v>242</v>
      </c>
      <c r="K185">
        <v>5</v>
      </c>
      <c r="L185" s="4">
        <v>1302</v>
      </c>
      <c r="M185" s="10">
        <f t="shared" si="2"/>
        <v>6510</v>
      </c>
    </row>
    <row r="186" spans="1:13">
      <c r="A186" t="s">
        <v>308</v>
      </c>
      <c r="B186" s="9">
        <v>45966</v>
      </c>
      <c r="C186" t="s">
        <v>271</v>
      </c>
      <c r="D186" t="s">
        <v>24</v>
      </c>
      <c r="E186" t="s">
        <v>97</v>
      </c>
      <c r="F186" t="s">
        <v>34</v>
      </c>
      <c r="G186" t="s">
        <v>18</v>
      </c>
      <c r="H186" t="s">
        <v>28</v>
      </c>
      <c r="I186" t="s">
        <v>29</v>
      </c>
      <c r="J186" t="s">
        <v>92</v>
      </c>
      <c r="K186">
        <v>5</v>
      </c>
      <c r="L186" s="4">
        <v>5962</v>
      </c>
      <c r="M186" s="10">
        <f t="shared" si="2"/>
        <v>29810</v>
      </c>
    </row>
    <row r="187" spans="1:13">
      <c r="A187" t="s">
        <v>309</v>
      </c>
      <c r="B187" s="9">
        <v>45932</v>
      </c>
      <c r="C187" t="s">
        <v>135</v>
      </c>
      <c r="D187" t="s">
        <v>15</v>
      </c>
      <c r="E187" t="s">
        <v>51</v>
      </c>
      <c r="F187" t="s">
        <v>45</v>
      </c>
      <c r="G187" t="s">
        <v>18</v>
      </c>
      <c r="H187" t="s">
        <v>46</v>
      </c>
      <c r="I187" t="s">
        <v>106</v>
      </c>
      <c r="J187" t="s">
        <v>190</v>
      </c>
      <c r="K187">
        <v>1</v>
      </c>
      <c r="L187" s="4">
        <v>524</v>
      </c>
      <c r="M187" s="10">
        <f t="shared" si="2"/>
        <v>524</v>
      </c>
    </row>
    <row r="188" spans="1:13">
      <c r="A188" t="s">
        <v>310</v>
      </c>
      <c r="B188" s="9">
        <v>45703</v>
      </c>
      <c r="C188" t="s">
        <v>76</v>
      </c>
      <c r="D188" t="s">
        <v>24</v>
      </c>
      <c r="E188" t="s">
        <v>69</v>
      </c>
      <c r="F188" t="s">
        <v>45</v>
      </c>
      <c r="G188" t="s">
        <v>27</v>
      </c>
      <c r="H188" t="s">
        <v>19</v>
      </c>
      <c r="I188" t="s">
        <v>39</v>
      </c>
      <c r="J188" t="s">
        <v>188</v>
      </c>
      <c r="K188">
        <v>2</v>
      </c>
      <c r="L188" s="4">
        <v>406</v>
      </c>
      <c r="M188" s="10">
        <f t="shared" si="2"/>
        <v>812</v>
      </c>
    </row>
    <row r="189" spans="1:13">
      <c r="A189" t="s">
        <v>311</v>
      </c>
      <c r="B189" s="9">
        <v>45991</v>
      </c>
      <c r="C189" t="s">
        <v>102</v>
      </c>
      <c r="D189" t="s">
        <v>15</v>
      </c>
      <c r="E189" t="s">
        <v>17</v>
      </c>
      <c r="F189" t="s">
        <v>17</v>
      </c>
      <c r="G189" t="s">
        <v>18</v>
      </c>
      <c r="H189" t="s">
        <v>58</v>
      </c>
      <c r="I189" t="s">
        <v>59</v>
      </c>
      <c r="J189" t="s">
        <v>66</v>
      </c>
      <c r="K189">
        <v>2</v>
      </c>
      <c r="L189" s="4">
        <v>979</v>
      </c>
      <c r="M189" s="10">
        <f t="shared" si="2"/>
        <v>1958</v>
      </c>
    </row>
    <row r="190" spans="1:13">
      <c r="A190" t="s">
        <v>312</v>
      </c>
      <c r="B190" s="9">
        <v>45697</v>
      </c>
      <c r="C190" t="s">
        <v>68</v>
      </c>
      <c r="D190" t="s">
        <v>15</v>
      </c>
      <c r="E190" t="s">
        <v>33</v>
      </c>
      <c r="F190" t="s">
        <v>34</v>
      </c>
      <c r="G190" t="s">
        <v>27</v>
      </c>
      <c r="H190" t="s">
        <v>28</v>
      </c>
      <c r="I190" t="s">
        <v>20</v>
      </c>
      <c r="J190" t="s">
        <v>21</v>
      </c>
      <c r="K190">
        <v>4</v>
      </c>
      <c r="L190" s="4">
        <v>887</v>
      </c>
      <c r="M190" s="10">
        <f t="shared" si="2"/>
        <v>3548</v>
      </c>
    </row>
    <row r="191" spans="1:13">
      <c r="A191" t="s">
        <v>313</v>
      </c>
      <c r="B191" s="9">
        <v>45919</v>
      </c>
      <c r="C191" t="s">
        <v>50</v>
      </c>
      <c r="D191" t="s">
        <v>24</v>
      </c>
      <c r="E191" t="s">
        <v>69</v>
      </c>
      <c r="F191" t="s">
        <v>45</v>
      </c>
      <c r="G191" t="s">
        <v>18</v>
      </c>
      <c r="H191" t="s">
        <v>28</v>
      </c>
      <c r="I191" t="s">
        <v>79</v>
      </c>
      <c r="J191" t="s">
        <v>242</v>
      </c>
      <c r="K191">
        <v>2</v>
      </c>
      <c r="L191" s="4">
        <v>2041</v>
      </c>
      <c r="M191" s="10">
        <f t="shared" si="2"/>
        <v>4082</v>
      </c>
    </row>
    <row r="192" spans="1:13">
      <c r="A192" t="s">
        <v>314</v>
      </c>
      <c r="B192" s="9">
        <v>45761</v>
      </c>
      <c r="C192" t="s">
        <v>122</v>
      </c>
      <c r="D192" t="s">
        <v>15</v>
      </c>
      <c r="E192" t="s">
        <v>51</v>
      </c>
      <c r="F192" t="s">
        <v>45</v>
      </c>
      <c r="G192" t="s">
        <v>72</v>
      </c>
      <c r="H192" t="s">
        <v>28</v>
      </c>
      <c r="I192" t="s">
        <v>39</v>
      </c>
      <c r="J192" t="s">
        <v>120</v>
      </c>
      <c r="K192">
        <v>5</v>
      </c>
      <c r="L192" s="4">
        <v>400</v>
      </c>
      <c r="M192" s="10">
        <f t="shared" si="2"/>
        <v>2000</v>
      </c>
    </row>
    <row r="193" spans="1:13">
      <c r="A193" t="s">
        <v>315</v>
      </c>
      <c r="B193" s="9">
        <v>45911</v>
      </c>
      <c r="C193" t="s">
        <v>132</v>
      </c>
      <c r="D193" t="s">
        <v>43</v>
      </c>
      <c r="E193" t="s">
        <v>111</v>
      </c>
      <c r="F193" t="s">
        <v>26</v>
      </c>
      <c r="G193" t="s">
        <v>18</v>
      </c>
      <c r="H193" t="s">
        <v>28</v>
      </c>
      <c r="I193" t="s">
        <v>47</v>
      </c>
      <c r="J193" t="s">
        <v>77</v>
      </c>
      <c r="K193">
        <v>2</v>
      </c>
      <c r="L193" s="4">
        <v>398</v>
      </c>
      <c r="M193" s="10">
        <f t="shared" si="2"/>
        <v>796</v>
      </c>
    </row>
    <row r="194" spans="1:13">
      <c r="A194" t="s">
        <v>316</v>
      </c>
      <c r="B194" s="9">
        <v>45849</v>
      </c>
      <c r="C194" t="s">
        <v>91</v>
      </c>
      <c r="D194" t="s">
        <v>43</v>
      </c>
      <c r="E194" t="s">
        <v>51</v>
      </c>
      <c r="F194" t="s">
        <v>45</v>
      </c>
      <c r="G194" t="s">
        <v>18</v>
      </c>
      <c r="H194" t="s">
        <v>19</v>
      </c>
      <c r="I194" t="s">
        <v>62</v>
      </c>
      <c r="J194" t="s">
        <v>73</v>
      </c>
      <c r="K194">
        <v>2</v>
      </c>
      <c r="L194" s="4">
        <v>2602</v>
      </c>
      <c r="M194" s="10">
        <f t="shared" ref="M194:M257" si="3">K194*L194</f>
        <v>5204</v>
      </c>
    </row>
    <row r="195" spans="1:13">
      <c r="A195" t="s">
        <v>317</v>
      </c>
      <c r="B195" s="9">
        <v>45702</v>
      </c>
      <c r="C195" t="s">
        <v>50</v>
      </c>
      <c r="D195" t="s">
        <v>24</v>
      </c>
      <c r="E195" t="s">
        <v>57</v>
      </c>
      <c r="F195" t="s">
        <v>57</v>
      </c>
      <c r="G195" t="s">
        <v>27</v>
      </c>
      <c r="H195" t="s">
        <v>28</v>
      </c>
      <c r="I195" t="s">
        <v>59</v>
      </c>
      <c r="J195" t="s">
        <v>66</v>
      </c>
      <c r="K195">
        <v>3</v>
      </c>
      <c r="L195" s="4">
        <v>620</v>
      </c>
      <c r="M195" s="10">
        <f t="shared" si="3"/>
        <v>1860</v>
      </c>
    </row>
    <row r="196" spans="1:13">
      <c r="A196" t="s">
        <v>318</v>
      </c>
      <c r="B196" s="9">
        <v>45761</v>
      </c>
      <c r="C196" t="s">
        <v>198</v>
      </c>
      <c r="D196" t="s">
        <v>15</v>
      </c>
      <c r="E196" t="s">
        <v>69</v>
      </c>
      <c r="F196" t="s">
        <v>45</v>
      </c>
      <c r="G196" t="s">
        <v>27</v>
      </c>
      <c r="H196" t="s">
        <v>28</v>
      </c>
      <c r="I196" t="s">
        <v>62</v>
      </c>
      <c r="J196" t="s">
        <v>63</v>
      </c>
      <c r="K196">
        <v>4</v>
      </c>
      <c r="L196" s="4">
        <v>22455</v>
      </c>
      <c r="M196" s="10">
        <f t="shared" si="3"/>
        <v>89820</v>
      </c>
    </row>
    <row r="197" spans="1:13">
      <c r="A197" t="s">
        <v>319</v>
      </c>
      <c r="B197" s="9">
        <v>45826</v>
      </c>
      <c r="C197" t="s">
        <v>320</v>
      </c>
      <c r="D197" t="s">
        <v>24</v>
      </c>
      <c r="E197" t="s">
        <v>69</v>
      </c>
      <c r="F197" t="s">
        <v>45</v>
      </c>
      <c r="G197" t="s">
        <v>72</v>
      </c>
      <c r="H197" t="s">
        <v>46</v>
      </c>
      <c r="I197" t="s">
        <v>62</v>
      </c>
      <c r="J197" t="s">
        <v>63</v>
      </c>
      <c r="K197">
        <v>4</v>
      </c>
      <c r="L197" s="4">
        <v>23296</v>
      </c>
      <c r="M197" s="10">
        <f t="shared" si="3"/>
        <v>93184</v>
      </c>
    </row>
    <row r="198" spans="1:13">
      <c r="A198" t="s">
        <v>321</v>
      </c>
      <c r="B198" s="9">
        <v>45671</v>
      </c>
      <c r="C198" t="s">
        <v>149</v>
      </c>
      <c r="D198" t="s">
        <v>24</v>
      </c>
      <c r="E198" t="s">
        <v>69</v>
      </c>
      <c r="F198" t="s">
        <v>45</v>
      </c>
      <c r="G198" t="s">
        <v>27</v>
      </c>
      <c r="H198" t="s">
        <v>46</v>
      </c>
      <c r="I198" t="s">
        <v>39</v>
      </c>
      <c r="J198" t="s">
        <v>120</v>
      </c>
      <c r="K198">
        <v>2</v>
      </c>
      <c r="L198" s="4">
        <v>436</v>
      </c>
      <c r="M198" s="10">
        <f t="shared" si="3"/>
        <v>872</v>
      </c>
    </row>
    <row r="199" spans="1:13">
      <c r="A199" t="s">
        <v>322</v>
      </c>
      <c r="B199" s="9">
        <v>45749</v>
      </c>
      <c r="C199" t="s">
        <v>129</v>
      </c>
      <c r="D199" t="s">
        <v>24</v>
      </c>
      <c r="E199" t="s">
        <v>51</v>
      </c>
      <c r="F199" t="s">
        <v>45</v>
      </c>
      <c r="G199" t="s">
        <v>27</v>
      </c>
      <c r="H199" t="s">
        <v>28</v>
      </c>
      <c r="I199" t="s">
        <v>29</v>
      </c>
      <c r="J199" t="s">
        <v>153</v>
      </c>
      <c r="K199">
        <v>2</v>
      </c>
      <c r="L199" s="4">
        <v>6886</v>
      </c>
      <c r="M199" s="10">
        <f t="shared" si="3"/>
        <v>13772</v>
      </c>
    </row>
    <row r="200" spans="1:13">
      <c r="A200" t="s">
        <v>323</v>
      </c>
      <c r="B200" s="9">
        <v>45956</v>
      </c>
      <c r="C200" t="s">
        <v>68</v>
      </c>
      <c r="D200" t="s">
        <v>24</v>
      </c>
      <c r="E200" t="s">
        <v>16</v>
      </c>
      <c r="F200" t="s">
        <v>17</v>
      </c>
      <c r="G200" t="s">
        <v>27</v>
      </c>
      <c r="H200" t="s">
        <v>28</v>
      </c>
      <c r="I200" t="s">
        <v>106</v>
      </c>
      <c r="J200" t="s">
        <v>133</v>
      </c>
      <c r="K200">
        <v>2</v>
      </c>
      <c r="L200" s="4">
        <v>1651</v>
      </c>
      <c r="M200" s="10">
        <f t="shared" si="3"/>
        <v>3302</v>
      </c>
    </row>
    <row r="201" spans="1:13">
      <c r="A201" t="s">
        <v>324</v>
      </c>
      <c r="B201" s="9">
        <v>45692</v>
      </c>
      <c r="C201" t="s">
        <v>325</v>
      </c>
      <c r="D201" t="s">
        <v>15</v>
      </c>
      <c r="E201" t="s">
        <v>111</v>
      </c>
      <c r="F201" t="s">
        <v>26</v>
      </c>
      <c r="G201" t="s">
        <v>27</v>
      </c>
      <c r="H201" t="s">
        <v>46</v>
      </c>
      <c r="I201" t="s">
        <v>47</v>
      </c>
      <c r="J201" t="s">
        <v>103</v>
      </c>
      <c r="K201">
        <v>1</v>
      </c>
      <c r="L201" s="4">
        <v>537</v>
      </c>
      <c r="M201" s="10">
        <f t="shared" si="3"/>
        <v>537</v>
      </c>
    </row>
    <row r="202" spans="1:13">
      <c r="A202" t="s">
        <v>326</v>
      </c>
      <c r="B202" s="9">
        <v>45860</v>
      </c>
      <c r="C202" t="s">
        <v>14</v>
      </c>
      <c r="D202" t="s">
        <v>43</v>
      </c>
      <c r="E202" t="s">
        <v>25</v>
      </c>
      <c r="F202" t="s">
        <v>26</v>
      </c>
      <c r="G202" t="s">
        <v>27</v>
      </c>
      <c r="H202" t="s">
        <v>19</v>
      </c>
      <c r="I202" t="s">
        <v>79</v>
      </c>
      <c r="J202" t="s">
        <v>89</v>
      </c>
      <c r="K202">
        <v>3</v>
      </c>
      <c r="L202" s="4">
        <v>3334</v>
      </c>
      <c r="M202" s="10">
        <f t="shared" si="3"/>
        <v>10002</v>
      </c>
    </row>
    <row r="203" spans="1:13">
      <c r="A203" t="s">
        <v>327</v>
      </c>
      <c r="B203" s="9">
        <v>45662</v>
      </c>
      <c r="C203" t="s">
        <v>110</v>
      </c>
      <c r="D203" t="s">
        <v>24</v>
      </c>
      <c r="E203" t="s">
        <v>105</v>
      </c>
      <c r="F203" t="s">
        <v>45</v>
      </c>
      <c r="G203" t="s">
        <v>18</v>
      </c>
      <c r="H203" t="s">
        <v>28</v>
      </c>
      <c r="I203" t="s">
        <v>59</v>
      </c>
      <c r="J203" t="s">
        <v>66</v>
      </c>
      <c r="K203">
        <v>1</v>
      </c>
      <c r="L203" s="4">
        <v>1124</v>
      </c>
      <c r="M203" s="10">
        <f t="shared" si="3"/>
        <v>1124</v>
      </c>
    </row>
    <row r="204" spans="1:13">
      <c r="A204" t="s">
        <v>328</v>
      </c>
      <c r="B204" s="9">
        <v>45747</v>
      </c>
      <c r="C204" t="s">
        <v>135</v>
      </c>
      <c r="D204" t="s">
        <v>24</v>
      </c>
      <c r="E204" t="s">
        <v>17</v>
      </c>
      <c r="F204" t="s">
        <v>17</v>
      </c>
      <c r="G204" t="s">
        <v>72</v>
      </c>
      <c r="H204" t="s">
        <v>58</v>
      </c>
      <c r="I204" t="s">
        <v>79</v>
      </c>
      <c r="J204" t="s">
        <v>80</v>
      </c>
      <c r="K204">
        <v>3</v>
      </c>
      <c r="L204" s="4">
        <v>3922</v>
      </c>
      <c r="M204" s="10">
        <f t="shared" si="3"/>
        <v>11766</v>
      </c>
    </row>
    <row r="205" spans="1:13">
      <c r="A205" t="s">
        <v>329</v>
      </c>
      <c r="B205" s="9">
        <v>45882</v>
      </c>
      <c r="C205" t="s">
        <v>240</v>
      </c>
      <c r="D205" t="s">
        <v>15</v>
      </c>
      <c r="E205" t="s">
        <v>111</v>
      </c>
      <c r="F205" t="s">
        <v>26</v>
      </c>
      <c r="G205" t="s">
        <v>18</v>
      </c>
      <c r="H205" t="s">
        <v>46</v>
      </c>
      <c r="I205" t="s">
        <v>62</v>
      </c>
      <c r="J205" t="s">
        <v>87</v>
      </c>
      <c r="K205">
        <v>4</v>
      </c>
      <c r="L205" s="4">
        <v>18553</v>
      </c>
      <c r="M205" s="10">
        <f t="shared" si="3"/>
        <v>74212</v>
      </c>
    </row>
    <row r="206" spans="1:13">
      <c r="A206" t="s">
        <v>330</v>
      </c>
      <c r="B206" s="9">
        <v>45908</v>
      </c>
      <c r="C206" t="s">
        <v>140</v>
      </c>
      <c r="D206" t="s">
        <v>24</v>
      </c>
      <c r="E206" t="s">
        <v>69</v>
      </c>
      <c r="F206" t="s">
        <v>45</v>
      </c>
      <c r="G206" t="s">
        <v>72</v>
      </c>
      <c r="H206" t="s">
        <v>28</v>
      </c>
      <c r="I206" t="s">
        <v>20</v>
      </c>
      <c r="J206" t="s">
        <v>123</v>
      </c>
      <c r="K206">
        <v>3</v>
      </c>
      <c r="L206" s="4">
        <v>848</v>
      </c>
      <c r="M206" s="10">
        <f t="shared" si="3"/>
        <v>2544</v>
      </c>
    </row>
    <row r="207" spans="1:13">
      <c r="A207" t="s">
        <v>331</v>
      </c>
      <c r="B207" s="9">
        <v>45945</v>
      </c>
      <c r="C207" t="s">
        <v>99</v>
      </c>
      <c r="D207" t="s">
        <v>15</v>
      </c>
      <c r="E207" t="s">
        <v>33</v>
      </c>
      <c r="F207" t="s">
        <v>34</v>
      </c>
      <c r="G207" t="s">
        <v>27</v>
      </c>
      <c r="H207" t="s">
        <v>46</v>
      </c>
      <c r="I207" t="s">
        <v>29</v>
      </c>
      <c r="J207" t="s">
        <v>92</v>
      </c>
      <c r="K207">
        <v>4</v>
      </c>
      <c r="L207" s="4">
        <v>1869</v>
      </c>
      <c r="M207" s="10">
        <f t="shared" si="3"/>
        <v>7476</v>
      </c>
    </row>
    <row r="208" spans="1:13">
      <c r="A208" t="s">
        <v>332</v>
      </c>
      <c r="B208" s="9">
        <v>45862</v>
      </c>
      <c r="C208" t="s">
        <v>96</v>
      </c>
      <c r="D208" t="s">
        <v>15</v>
      </c>
      <c r="E208" t="s">
        <v>69</v>
      </c>
      <c r="F208" t="s">
        <v>45</v>
      </c>
      <c r="G208" t="s">
        <v>52</v>
      </c>
      <c r="H208" t="s">
        <v>19</v>
      </c>
      <c r="I208" t="s">
        <v>39</v>
      </c>
      <c r="J208" t="s">
        <v>40</v>
      </c>
      <c r="K208">
        <v>4</v>
      </c>
      <c r="L208" s="4">
        <v>224</v>
      </c>
      <c r="M208" s="10">
        <f t="shared" si="3"/>
        <v>896</v>
      </c>
    </row>
    <row r="209" spans="1:13">
      <c r="A209" t="s">
        <v>333</v>
      </c>
      <c r="B209" s="9">
        <v>45662</v>
      </c>
      <c r="C209" t="s">
        <v>32</v>
      </c>
      <c r="D209" t="s">
        <v>24</v>
      </c>
      <c r="E209" t="s">
        <v>16</v>
      </c>
      <c r="F209" t="s">
        <v>17</v>
      </c>
      <c r="G209" t="s">
        <v>18</v>
      </c>
      <c r="H209" t="s">
        <v>58</v>
      </c>
      <c r="I209" t="s">
        <v>106</v>
      </c>
      <c r="J209" t="s">
        <v>133</v>
      </c>
      <c r="K209">
        <v>4</v>
      </c>
      <c r="L209" s="4">
        <v>1403</v>
      </c>
      <c r="M209" s="10">
        <f t="shared" si="3"/>
        <v>5612</v>
      </c>
    </row>
    <row r="210" spans="1:13">
      <c r="A210" t="s">
        <v>334</v>
      </c>
      <c r="B210" s="9">
        <v>45759</v>
      </c>
      <c r="C210" t="s">
        <v>110</v>
      </c>
      <c r="D210" t="s">
        <v>24</v>
      </c>
      <c r="E210" t="s">
        <v>38</v>
      </c>
      <c r="F210" t="s">
        <v>34</v>
      </c>
      <c r="G210" t="s">
        <v>72</v>
      </c>
      <c r="H210" t="s">
        <v>28</v>
      </c>
      <c r="I210" t="s">
        <v>47</v>
      </c>
      <c r="J210" t="s">
        <v>172</v>
      </c>
      <c r="K210">
        <v>5</v>
      </c>
      <c r="L210" s="4">
        <v>394</v>
      </c>
      <c r="M210" s="10">
        <f t="shared" si="3"/>
        <v>1970</v>
      </c>
    </row>
    <row r="211" spans="1:13">
      <c r="A211" t="s">
        <v>335</v>
      </c>
      <c r="B211" s="9">
        <v>45703</v>
      </c>
      <c r="C211" t="s">
        <v>129</v>
      </c>
      <c r="D211" t="s">
        <v>15</v>
      </c>
      <c r="E211" t="s">
        <v>84</v>
      </c>
      <c r="F211" t="s">
        <v>26</v>
      </c>
      <c r="G211" t="s">
        <v>18</v>
      </c>
      <c r="H211" t="s">
        <v>46</v>
      </c>
      <c r="I211" t="s">
        <v>47</v>
      </c>
      <c r="J211" t="s">
        <v>48</v>
      </c>
      <c r="K211">
        <v>4</v>
      </c>
      <c r="L211" s="4">
        <v>507</v>
      </c>
      <c r="M211" s="10">
        <f t="shared" si="3"/>
        <v>2028</v>
      </c>
    </row>
    <row r="212" spans="1:13">
      <c r="A212" t="s">
        <v>336</v>
      </c>
      <c r="B212" s="9">
        <v>45808</v>
      </c>
      <c r="C212" t="s">
        <v>122</v>
      </c>
      <c r="D212" t="s">
        <v>24</v>
      </c>
      <c r="E212" t="s">
        <v>51</v>
      </c>
      <c r="F212" t="s">
        <v>45</v>
      </c>
      <c r="G212" t="s">
        <v>18</v>
      </c>
      <c r="H212" t="s">
        <v>19</v>
      </c>
      <c r="I212" t="s">
        <v>62</v>
      </c>
      <c r="J212" t="s">
        <v>87</v>
      </c>
      <c r="K212">
        <v>2</v>
      </c>
      <c r="L212" s="4">
        <v>5304</v>
      </c>
      <c r="M212" s="10">
        <f t="shared" si="3"/>
        <v>10608</v>
      </c>
    </row>
    <row r="213" spans="1:13">
      <c r="A213" t="s">
        <v>337</v>
      </c>
      <c r="B213" s="9">
        <v>45759</v>
      </c>
      <c r="C213" t="s">
        <v>65</v>
      </c>
      <c r="D213" t="s">
        <v>43</v>
      </c>
      <c r="E213" t="s">
        <v>56</v>
      </c>
      <c r="F213" t="s">
        <v>57</v>
      </c>
      <c r="G213" t="s">
        <v>52</v>
      </c>
      <c r="H213" t="s">
        <v>46</v>
      </c>
      <c r="I213" t="s">
        <v>79</v>
      </c>
      <c r="J213" t="s">
        <v>89</v>
      </c>
      <c r="K213">
        <v>5</v>
      </c>
      <c r="L213" s="4">
        <v>4449</v>
      </c>
      <c r="M213" s="10">
        <f t="shared" si="3"/>
        <v>22245</v>
      </c>
    </row>
    <row r="214" spans="1:13">
      <c r="A214" t="s">
        <v>338</v>
      </c>
      <c r="B214" s="9">
        <v>45741</v>
      </c>
      <c r="C214" t="s">
        <v>110</v>
      </c>
      <c r="D214" t="s">
        <v>15</v>
      </c>
      <c r="E214" t="s">
        <v>51</v>
      </c>
      <c r="F214" t="s">
        <v>45</v>
      </c>
      <c r="G214" t="s">
        <v>27</v>
      </c>
      <c r="H214" t="s">
        <v>58</v>
      </c>
      <c r="I214" t="s">
        <v>47</v>
      </c>
      <c r="J214" t="s">
        <v>172</v>
      </c>
      <c r="K214">
        <v>2</v>
      </c>
      <c r="L214" s="4">
        <v>310</v>
      </c>
      <c r="M214" s="10">
        <f t="shared" si="3"/>
        <v>620</v>
      </c>
    </row>
    <row r="215" spans="1:13">
      <c r="A215" t="s">
        <v>339</v>
      </c>
      <c r="B215" s="9">
        <v>45940</v>
      </c>
      <c r="C215" t="s">
        <v>102</v>
      </c>
      <c r="D215" t="s">
        <v>15</v>
      </c>
      <c r="E215" t="s">
        <v>69</v>
      </c>
      <c r="F215" t="s">
        <v>45</v>
      </c>
      <c r="G215" t="s">
        <v>18</v>
      </c>
      <c r="H215" t="s">
        <v>28</v>
      </c>
      <c r="I215" t="s">
        <v>20</v>
      </c>
      <c r="J215" t="s">
        <v>53</v>
      </c>
      <c r="K215">
        <v>1</v>
      </c>
      <c r="L215" s="4">
        <v>2973</v>
      </c>
      <c r="M215" s="10">
        <f t="shared" si="3"/>
        <v>2973</v>
      </c>
    </row>
    <row r="216" spans="1:13">
      <c r="A216" t="s">
        <v>340</v>
      </c>
      <c r="B216" s="9">
        <v>45720</v>
      </c>
      <c r="C216" t="s">
        <v>86</v>
      </c>
      <c r="D216" t="s">
        <v>24</v>
      </c>
      <c r="E216" t="s">
        <v>25</v>
      </c>
      <c r="F216" t="s">
        <v>26</v>
      </c>
      <c r="G216" t="s">
        <v>27</v>
      </c>
      <c r="H216" t="s">
        <v>46</v>
      </c>
      <c r="I216" t="s">
        <v>39</v>
      </c>
      <c r="J216" t="s">
        <v>40</v>
      </c>
      <c r="K216">
        <v>4</v>
      </c>
      <c r="L216" s="4">
        <v>244</v>
      </c>
      <c r="M216" s="10">
        <f t="shared" si="3"/>
        <v>976</v>
      </c>
    </row>
    <row r="217" spans="1:13">
      <c r="A217" t="s">
        <v>341</v>
      </c>
      <c r="B217" s="9">
        <v>45747</v>
      </c>
      <c r="C217" t="s">
        <v>23</v>
      </c>
      <c r="D217" t="s">
        <v>24</v>
      </c>
      <c r="E217" t="s">
        <v>57</v>
      </c>
      <c r="F217" t="s">
        <v>57</v>
      </c>
      <c r="G217" t="s">
        <v>27</v>
      </c>
      <c r="H217" t="s">
        <v>58</v>
      </c>
      <c r="I217" t="s">
        <v>47</v>
      </c>
      <c r="J217" t="s">
        <v>172</v>
      </c>
      <c r="K217">
        <v>4</v>
      </c>
      <c r="L217" s="4">
        <v>512</v>
      </c>
      <c r="M217" s="10">
        <f t="shared" si="3"/>
        <v>2048</v>
      </c>
    </row>
    <row r="218" spans="1:13">
      <c r="A218" t="s">
        <v>342</v>
      </c>
      <c r="B218" s="9">
        <v>45703</v>
      </c>
      <c r="C218" t="s">
        <v>71</v>
      </c>
      <c r="D218" t="s">
        <v>24</v>
      </c>
      <c r="E218" t="s">
        <v>69</v>
      </c>
      <c r="F218" t="s">
        <v>45</v>
      </c>
      <c r="G218" t="s">
        <v>27</v>
      </c>
      <c r="H218" t="s">
        <v>46</v>
      </c>
      <c r="I218" t="s">
        <v>106</v>
      </c>
      <c r="J218" t="s">
        <v>107</v>
      </c>
      <c r="K218">
        <v>5</v>
      </c>
      <c r="L218" s="4">
        <v>1296</v>
      </c>
      <c r="M218" s="10">
        <f t="shared" si="3"/>
        <v>6480</v>
      </c>
    </row>
    <row r="219" spans="1:13">
      <c r="A219" t="s">
        <v>343</v>
      </c>
      <c r="B219" s="9">
        <v>45847</v>
      </c>
      <c r="C219" t="s">
        <v>145</v>
      </c>
      <c r="D219" t="s">
        <v>24</v>
      </c>
      <c r="E219" t="s">
        <v>105</v>
      </c>
      <c r="F219" t="s">
        <v>45</v>
      </c>
      <c r="G219" t="s">
        <v>27</v>
      </c>
      <c r="H219" t="s">
        <v>28</v>
      </c>
      <c r="I219" t="s">
        <v>79</v>
      </c>
      <c r="J219" t="s">
        <v>89</v>
      </c>
      <c r="K219">
        <v>4</v>
      </c>
      <c r="L219" s="4">
        <v>4862</v>
      </c>
      <c r="M219" s="10">
        <f t="shared" si="3"/>
        <v>19448</v>
      </c>
    </row>
    <row r="220" spans="1:13">
      <c r="A220" t="s">
        <v>344</v>
      </c>
      <c r="B220" s="9">
        <v>45890</v>
      </c>
      <c r="C220" t="s">
        <v>213</v>
      </c>
      <c r="D220" t="s">
        <v>15</v>
      </c>
      <c r="E220" t="s">
        <v>69</v>
      </c>
      <c r="F220" t="s">
        <v>45</v>
      </c>
      <c r="G220" t="s">
        <v>18</v>
      </c>
      <c r="H220" t="s">
        <v>19</v>
      </c>
      <c r="I220" t="s">
        <v>59</v>
      </c>
      <c r="J220" t="s">
        <v>66</v>
      </c>
      <c r="K220">
        <v>1</v>
      </c>
      <c r="L220" s="4">
        <v>1182</v>
      </c>
      <c r="M220" s="10">
        <f t="shared" si="3"/>
        <v>1182</v>
      </c>
    </row>
    <row r="221" spans="1:13">
      <c r="A221" t="s">
        <v>345</v>
      </c>
      <c r="B221" s="9">
        <v>45892</v>
      </c>
      <c r="C221" t="s">
        <v>174</v>
      </c>
      <c r="D221" t="s">
        <v>15</v>
      </c>
      <c r="E221" t="s">
        <v>33</v>
      </c>
      <c r="F221" t="s">
        <v>34</v>
      </c>
      <c r="G221" t="s">
        <v>72</v>
      </c>
      <c r="H221" t="s">
        <v>19</v>
      </c>
      <c r="I221" t="s">
        <v>79</v>
      </c>
      <c r="J221" t="s">
        <v>242</v>
      </c>
      <c r="K221">
        <v>2</v>
      </c>
      <c r="L221" s="4">
        <v>4598</v>
      </c>
      <c r="M221" s="10">
        <f t="shared" si="3"/>
        <v>9196</v>
      </c>
    </row>
    <row r="222" spans="1:13">
      <c r="A222" t="s">
        <v>346</v>
      </c>
      <c r="B222" s="9">
        <v>45689</v>
      </c>
      <c r="C222" t="s">
        <v>169</v>
      </c>
      <c r="D222" t="s">
        <v>15</v>
      </c>
      <c r="E222" t="s">
        <v>57</v>
      </c>
      <c r="F222" t="s">
        <v>57</v>
      </c>
      <c r="G222" t="s">
        <v>52</v>
      </c>
      <c r="H222" t="s">
        <v>19</v>
      </c>
      <c r="I222" t="s">
        <v>106</v>
      </c>
      <c r="J222" t="s">
        <v>133</v>
      </c>
      <c r="K222">
        <v>3</v>
      </c>
      <c r="L222" s="4">
        <v>611</v>
      </c>
      <c r="M222" s="10">
        <f t="shared" si="3"/>
        <v>1833</v>
      </c>
    </row>
    <row r="223" spans="1:13">
      <c r="A223" t="s">
        <v>347</v>
      </c>
      <c r="B223" s="9">
        <v>45734</v>
      </c>
      <c r="C223" t="s">
        <v>160</v>
      </c>
      <c r="D223" t="s">
        <v>15</v>
      </c>
      <c r="E223" t="s">
        <v>44</v>
      </c>
      <c r="F223" t="s">
        <v>45</v>
      </c>
      <c r="G223" t="s">
        <v>18</v>
      </c>
      <c r="H223" t="s">
        <v>58</v>
      </c>
      <c r="I223" t="s">
        <v>59</v>
      </c>
      <c r="J223" t="s">
        <v>130</v>
      </c>
      <c r="K223">
        <v>3</v>
      </c>
      <c r="L223" s="4">
        <v>931</v>
      </c>
      <c r="M223" s="10">
        <f t="shared" si="3"/>
        <v>2793</v>
      </c>
    </row>
    <row r="224" spans="1:13">
      <c r="A224" t="s">
        <v>348</v>
      </c>
      <c r="B224" s="9">
        <v>45912</v>
      </c>
      <c r="C224" t="s">
        <v>91</v>
      </c>
      <c r="D224" t="s">
        <v>43</v>
      </c>
      <c r="E224" t="s">
        <v>57</v>
      </c>
      <c r="F224" t="s">
        <v>57</v>
      </c>
      <c r="G224" t="s">
        <v>52</v>
      </c>
      <c r="H224" t="s">
        <v>28</v>
      </c>
      <c r="I224" t="s">
        <v>79</v>
      </c>
      <c r="J224" t="s">
        <v>138</v>
      </c>
      <c r="K224">
        <v>1</v>
      </c>
      <c r="L224" s="4">
        <v>3537</v>
      </c>
      <c r="M224" s="10">
        <f t="shared" si="3"/>
        <v>3537</v>
      </c>
    </row>
    <row r="225" spans="1:13">
      <c r="A225" t="s">
        <v>349</v>
      </c>
      <c r="B225" s="9">
        <v>46020</v>
      </c>
      <c r="C225" t="s">
        <v>99</v>
      </c>
      <c r="D225" t="s">
        <v>15</v>
      </c>
      <c r="E225" t="s">
        <v>105</v>
      </c>
      <c r="F225" t="s">
        <v>45</v>
      </c>
      <c r="G225" t="s">
        <v>27</v>
      </c>
      <c r="H225" t="s">
        <v>19</v>
      </c>
      <c r="I225" t="s">
        <v>79</v>
      </c>
      <c r="J225" t="s">
        <v>80</v>
      </c>
      <c r="K225">
        <v>4</v>
      </c>
      <c r="L225" s="4">
        <v>2944</v>
      </c>
      <c r="M225" s="10">
        <f t="shared" si="3"/>
        <v>11776</v>
      </c>
    </row>
    <row r="226" spans="1:13">
      <c r="A226" t="s">
        <v>350</v>
      </c>
      <c r="B226" s="9">
        <v>45804</v>
      </c>
      <c r="C226" t="s">
        <v>50</v>
      </c>
      <c r="D226" t="s">
        <v>24</v>
      </c>
      <c r="E226" t="s">
        <v>105</v>
      </c>
      <c r="F226" t="s">
        <v>45</v>
      </c>
      <c r="G226" t="s">
        <v>27</v>
      </c>
      <c r="H226" t="s">
        <v>46</v>
      </c>
      <c r="I226" t="s">
        <v>20</v>
      </c>
      <c r="J226" t="s">
        <v>123</v>
      </c>
      <c r="K226">
        <v>1</v>
      </c>
      <c r="L226" s="4">
        <v>1212</v>
      </c>
      <c r="M226" s="10">
        <f t="shared" si="3"/>
        <v>1212</v>
      </c>
    </row>
    <row r="227" spans="1:13">
      <c r="A227" t="s">
        <v>351</v>
      </c>
      <c r="B227" s="9">
        <v>45658</v>
      </c>
      <c r="C227" t="s">
        <v>55</v>
      </c>
      <c r="D227" t="s">
        <v>15</v>
      </c>
      <c r="E227" t="s">
        <v>69</v>
      </c>
      <c r="F227" t="s">
        <v>45</v>
      </c>
      <c r="G227" t="s">
        <v>18</v>
      </c>
      <c r="H227" t="s">
        <v>46</v>
      </c>
      <c r="I227" t="s">
        <v>47</v>
      </c>
      <c r="J227" t="s">
        <v>77</v>
      </c>
      <c r="K227">
        <v>1</v>
      </c>
      <c r="L227" s="4">
        <v>495</v>
      </c>
      <c r="M227" s="10">
        <f t="shared" si="3"/>
        <v>495</v>
      </c>
    </row>
    <row r="228" spans="1:13">
      <c r="A228" t="s">
        <v>352</v>
      </c>
      <c r="B228" s="9">
        <v>45832</v>
      </c>
      <c r="C228" t="s">
        <v>160</v>
      </c>
      <c r="D228" t="s">
        <v>43</v>
      </c>
      <c r="E228" t="s">
        <v>51</v>
      </c>
      <c r="F228" t="s">
        <v>45</v>
      </c>
      <c r="G228" t="s">
        <v>18</v>
      </c>
      <c r="H228" t="s">
        <v>19</v>
      </c>
      <c r="I228" t="s">
        <v>39</v>
      </c>
      <c r="J228" t="s">
        <v>125</v>
      </c>
      <c r="K228">
        <v>1</v>
      </c>
      <c r="L228" s="4">
        <v>126</v>
      </c>
      <c r="M228" s="10">
        <f t="shared" si="3"/>
        <v>126</v>
      </c>
    </row>
    <row r="229" spans="1:13">
      <c r="A229" t="s">
        <v>353</v>
      </c>
      <c r="B229" s="9">
        <v>45702</v>
      </c>
      <c r="C229" t="s">
        <v>118</v>
      </c>
      <c r="D229" t="s">
        <v>43</v>
      </c>
      <c r="E229" t="s">
        <v>57</v>
      </c>
      <c r="F229" t="s">
        <v>57</v>
      </c>
      <c r="G229" t="s">
        <v>18</v>
      </c>
      <c r="H229" t="s">
        <v>46</v>
      </c>
      <c r="I229" t="s">
        <v>39</v>
      </c>
      <c r="J229" t="s">
        <v>40</v>
      </c>
      <c r="K229">
        <v>3</v>
      </c>
      <c r="L229" s="4">
        <v>205</v>
      </c>
      <c r="M229" s="10">
        <f t="shared" si="3"/>
        <v>615</v>
      </c>
    </row>
    <row r="230" spans="1:13">
      <c r="A230" t="s">
        <v>354</v>
      </c>
      <c r="B230" s="9">
        <v>46016</v>
      </c>
      <c r="C230" t="s">
        <v>86</v>
      </c>
      <c r="D230" t="s">
        <v>15</v>
      </c>
      <c r="E230" t="s">
        <v>25</v>
      </c>
      <c r="F230" t="s">
        <v>26</v>
      </c>
      <c r="G230" t="s">
        <v>27</v>
      </c>
      <c r="H230" t="s">
        <v>58</v>
      </c>
      <c r="I230" t="s">
        <v>62</v>
      </c>
      <c r="J230" t="s">
        <v>256</v>
      </c>
      <c r="K230">
        <v>5</v>
      </c>
      <c r="L230" s="4">
        <v>1667</v>
      </c>
      <c r="M230" s="10">
        <f t="shared" si="3"/>
        <v>8335</v>
      </c>
    </row>
    <row r="231" spans="1:13">
      <c r="A231" t="s">
        <v>355</v>
      </c>
      <c r="B231" s="9">
        <v>45743</v>
      </c>
      <c r="C231" t="s">
        <v>14</v>
      </c>
      <c r="D231" t="s">
        <v>15</v>
      </c>
      <c r="E231" t="s">
        <v>51</v>
      </c>
      <c r="F231" t="s">
        <v>45</v>
      </c>
      <c r="G231" t="s">
        <v>52</v>
      </c>
      <c r="H231" t="s">
        <v>28</v>
      </c>
      <c r="I231" t="s">
        <v>20</v>
      </c>
      <c r="J231" t="s">
        <v>35</v>
      </c>
      <c r="K231">
        <v>4</v>
      </c>
      <c r="L231" s="4">
        <v>2378</v>
      </c>
      <c r="M231" s="10">
        <f t="shared" si="3"/>
        <v>9512</v>
      </c>
    </row>
    <row r="232" spans="1:13">
      <c r="A232" t="s">
        <v>356</v>
      </c>
      <c r="B232" s="9">
        <v>45934</v>
      </c>
      <c r="C232" t="s">
        <v>32</v>
      </c>
      <c r="D232" t="s">
        <v>15</v>
      </c>
      <c r="E232" t="s">
        <v>44</v>
      </c>
      <c r="F232" t="s">
        <v>45</v>
      </c>
      <c r="G232" t="s">
        <v>18</v>
      </c>
      <c r="H232" t="s">
        <v>28</v>
      </c>
      <c r="I232" t="s">
        <v>29</v>
      </c>
      <c r="J232" t="s">
        <v>92</v>
      </c>
      <c r="K232">
        <v>3</v>
      </c>
      <c r="L232" s="4">
        <v>3118</v>
      </c>
      <c r="M232" s="10">
        <f t="shared" si="3"/>
        <v>9354</v>
      </c>
    </row>
    <row r="233" spans="1:13">
      <c r="A233" t="s">
        <v>357</v>
      </c>
      <c r="B233" s="9">
        <v>45982</v>
      </c>
      <c r="C233" t="s">
        <v>76</v>
      </c>
      <c r="D233" t="s">
        <v>24</v>
      </c>
      <c r="E233" t="s">
        <v>84</v>
      </c>
      <c r="F233" t="s">
        <v>26</v>
      </c>
      <c r="G233" t="s">
        <v>72</v>
      </c>
      <c r="H233" t="s">
        <v>46</v>
      </c>
      <c r="I233" t="s">
        <v>39</v>
      </c>
      <c r="J233" t="s">
        <v>40</v>
      </c>
      <c r="K233">
        <v>2</v>
      </c>
      <c r="L233" s="4">
        <v>379</v>
      </c>
      <c r="M233" s="10">
        <f t="shared" si="3"/>
        <v>758</v>
      </c>
    </row>
    <row r="234" spans="1:13">
      <c r="A234" t="s">
        <v>358</v>
      </c>
      <c r="B234" s="9">
        <v>45907</v>
      </c>
      <c r="C234" t="s">
        <v>198</v>
      </c>
      <c r="D234" t="s">
        <v>24</v>
      </c>
      <c r="E234" t="s">
        <v>56</v>
      </c>
      <c r="F234" t="s">
        <v>57</v>
      </c>
      <c r="G234" t="s">
        <v>52</v>
      </c>
      <c r="H234" t="s">
        <v>19</v>
      </c>
      <c r="I234" t="s">
        <v>47</v>
      </c>
      <c r="J234" t="s">
        <v>77</v>
      </c>
      <c r="K234">
        <v>1</v>
      </c>
      <c r="L234" s="4">
        <v>522</v>
      </c>
      <c r="M234" s="10">
        <f t="shared" si="3"/>
        <v>522</v>
      </c>
    </row>
    <row r="235" spans="1:13">
      <c r="A235" t="s">
        <v>359</v>
      </c>
      <c r="B235" s="9">
        <v>45825</v>
      </c>
      <c r="C235" t="s">
        <v>71</v>
      </c>
      <c r="D235" t="s">
        <v>24</v>
      </c>
      <c r="E235" t="s">
        <v>25</v>
      </c>
      <c r="F235" t="s">
        <v>26</v>
      </c>
      <c r="G235" t="s">
        <v>27</v>
      </c>
      <c r="H235" t="s">
        <v>28</v>
      </c>
      <c r="I235" t="s">
        <v>29</v>
      </c>
      <c r="J235" t="s">
        <v>92</v>
      </c>
      <c r="K235">
        <v>3</v>
      </c>
      <c r="L235" s="4">
        <v>3038</v>
      </c>
      <c r="M235" s="10">
        <f t="shared" si="3"/>
        <v>9114</v>
      </c>
    </row>
    <row r="236" spans="1:13">
      <c r="A236" t="s">
        <v>360</v>
      </c>
      <c r="B236" s="9">
        <v>45978</v>
      </c>
      <c r="C236" t="s">
        <v>325</v>
      </c>
      <c r="D236" t="s">
        <v>43</v>
      </c>
      <c r="E236" t="s">
        <v>16</v>
      </c>
      <c r="F236" t="s">
        <v>17</v>
      </c>
      <c r="G236" t="s">
        <v>18</v>
      </c>
      <c r="H236" t="s">
        <v>46</v>
      </c>
      <c r="I236" t="s">
        <v>106</v>
      </c>
      <c r="J236" t="s">
        <v>163</v>
      </c>
      <c r="K236">
        <v>1</v>
      </c>
      <c r="L236" s="4">
        <v>863</v>
      </c>
      <c r="M236" s="10">
        <f t="shared" si="3"/>
        <v>863</v>
      </c>
    </row>
    <row r="237" spans="1:13">
      <c r="A237" t="s">
        <v>361</v>
      </c>
      <c r="B237" s="9">
        <v>45843</v>
      </c>
      <c r="C237" t="s">
        <v>96</v>
      </c>
      <c r="D237" t="s">
        <v>15</v>
      </c>
      <c r="E237" t="s">
        <v>44</v>
      </c>
      <c r="F237" t="s">
        <v>45</v>
      </c>
      <c r="G237" t="s">
        <v>18</v>
      </c>
      <c r="H237" t="s">
        <v>58</v>
      </c>
      <c r="I237" t="s">
        <v>106</v>
      </c>
      <c r="J237" t="s">
        <v>107</v>
      </c>
      <c r="K237">
        <v>5</v>
      </c>
      <c r="L237" s="4">
        <v>646</v>
      </c>
      <c r="M237" s="10">
        <f t="shared" si="3"/>
        <v>3230</v>
      </c>
    </row>
    <row r="238" spans="1:13">
      <c r="A238" t="s">
        <v>362</v>
      </c>
      <c r="B238" s="9">
        <v>45867</v>
      </c>
      <c r="C238" t="s">
        <v>55</v>
      </c>
      <c r="D238" t="s">
        <v>15</v>
      </c>
      <c r="E238" t="s">
        <v>25</v>
      </c>
      <c r="F238" t="s">
        <v>26</v>
      </c>
      <c r="G238" t="s">
        <v>52</v>
      </c>
      <c r="H238" t="s">
        <v>46</v>
      </c>
      <c r="I238" t="s">
        <v>79</v>
      </c>
      <c r="J238" t="s">
        <v>80</v>
      </c>
      <c r="K238">
        <v>5</v>
      </c>
      <c r="L238" s="4">
        <v>4647</v>
      </c>
      <c r="M238" s="10">
        <f t="shared" si="3"/>
        <v>23235</v>
      </c>
    </row>
    <row r="239" spans="1:13">
      <c r="A239" t="s">
        <v>363</v>
      </c>
      <c r="B239" s="9">
        <v>46015</v>
      </c>
      <c r="C239" t="s">
        <v>99</v>
      </c>
      <c r="D239" t="s">
        <v>24</v>
      </c>
      <c r="E239" t="s">
        <v>51</v>
      </c>
      <c r="F239" t="s">
        <v>45</v>
      </c>
      <c r="G239" t="s">
        <v>52</v>
      </c>
      <c r="H239" t="s">
        <v>19</v>
      </c>
      <c r="I239" t="s">
        <v>79</v>
      </c>
      <c r="J239" t="s">
        <v>242</v>
      </c>
      <c r="K239">
        <v>5</v>
      </c>
      <c r="L239" s="4">
        <v>2974</v>
      </c>
      <c r="M239" s="10">
        <f t="shared" si="3"/>
        <v>14870</v>
      </c>
    </row>
    <row r="240" spans="1:13">
      <c r="A240" t="s">
        <v>364</v>
      </c>
      <c r="B240" s="9">
        <v>45845</v>
      </c>
      <c r="C240" t="s">
        <v>160</v>
      </c>
      <c r="D240" t="s">
        <v>43</v>
      </c>
      <c r="E240" t="s">
        <v>25</v>
      </c>
      <c r="F240" t="s">
        <v>26</v>
      </c>
      <c r="G240" t="s">
        <v>27</v>
      </c>
      <c r="H240" t="s">
        <v>28</v>
      </c>
      <c r="I240" t="s">
        <v>59</v>
      </c>
      <c r="J240" t="s">
        <v>112</v>
      </c>
      <c r="K240">
        <v>4</v>
      </c>
      <c r="L240" s="4">
        <v>337</v>
      </c>
      <c r="M240" s="10">
        <f t="shared" si="3"/>
        <v>1348</v>
      </c>
    </row>
    <row r="241" spans="1:13">
      <c r="A241" t="s">
        <v>365</v>
      </c>
      <c r="B241" s="9">
        <v>45864</v>
      </c>
      <c r="C241" t="s">
        <v>99</v>
      </c>
      <c r="D241" t="s">
        <v>24</v>
      </c>
      <c r="E241" t="s">
        <v>97</v>
      </c>
      <c r="F241" t="s">
        <v>34</v>
      </c>
      <c r="G241" t="s">
        <v>72</v>
      </c>
      <c r="H241" t="s">
        <v>28</v>
      </c>
      <c r="I241" t="s">
        <v>47</v>
      </c>
      <c r="J241" t="s">
        <v>103</v>
      </c>
      <c r="K241">
        <v>3</v>
      </c>
      <c r="L241" s="4">
        <v>278</v>
      </c>
      <c r="M241" s="10">
        <f t="shared" si="3"/>
        <v>834</v>
      </c>
    </row>
    <row r="242" spans="1:13">
      <c r="A242" t="s">
        <v>366</v>
      </c>
      <c r="B242" s="9">
        <v>45734</v>
      </c>
      <c r="C242" t="s">
        <v>147</v>
      </c>
      <c r="D242" t="s">
        <v>24</v>
      </c>
      <c r="E242" t="s">
        <v>17</v>
      </c>
      <c r="F242" t="s">
        <v>17</v>
      </c>
      <c r="G242" t="s">
        <v>27</v>
      </c>
      <c r="H242" t="s">
        <v>28</v>
      </c>
      <c r="I242" t="s">
        <v>106</v>
      </c>
      <c r="J242" t="s">
        <v>190</v>
      </c>
      <c r="K242">
        <v>5</v>
      </c>
      <c r="L242" s="4">
        <v>565</v>
      </c>
      <c r="M242" s="10">
        <f t="shared" si="3"/>
        <v>2825</v>
      </c>
    </row>
    <row r="243" spans="1:13">
      <c r="A243" t="s">
        <v>367</v>
      </c>
      <c r="B243" s="9">
        <v>45732</v>
      </c>
      <c r="C243" t="s">
        <v>184</v>
      </c>
      <c r="D243" t="s">
        <v>15</v>
      </c>
      <c r="E243" t="s">
        <v>17</v>
      </c>
      <c r="F243" t="s">
        <v>17</v>
      </c>
      <c r="G243" t="s">
        <v>27</v>
      </c>
      <c r="H243" t="s">
        <v>46</v>
      </c>
      <c r="I243" t="s">
        <v>47</v>
      </c>
      <c r="J243" t="s">
        <v>48</v>
      </c>
      <c r="K243">
        <v>2</v>
      </c>
      <c r="L243" s="4">
        <v>356</v>
      </c>
      <c r="M243" s="10">
        <f t="shared" si="3"/>
        <v>712</v>
      </c>
    </row>
    <row r="244" spans="1:13">
      <c r="A244" t="s">
        <v>368</v>
      </c>
      <c r="B244" s="9">
        <v>45939</v>
      </c>
      <c r="C244" t="s">
        <v>76</v>
      </c>
      <c r="D244" t="s">
        <v>15</v>
      </c>
      <c r="E244" t="s">
        <v>69</v>
      </c>
      <c r="F244" t="s">
        <v>45</v>
      </c>
      <c r="G244" t="s">
        <v>18</v>
      </c>
      <c r="H244" t="s">
        <v>46</v>
      </c>
      <c r="I244" t="s">
        <v>39</v>
      </c>
      <c r="J244" t="s">
        <v>188</v>
      </c>
      <c r="K244">
        <v>2</v>
      </c>
      <c r="L244" s="4">
        <v>291</v>
      </c>
      <c r="M244" s="10">
        <f t="shared" si="3"/>
        <v>582</v>
      </c>
    </row>
    <row r="245" spans="1:13">
      <c r="A245" t="s">
        <v>369</v>
      </c>
      <c r="B245" s="9">
        <v>45732</v>
      </c>
      <c r="C245" t="s">
        <v>122</v>
      </c>
      <c r="D245" t="s">
        <v>24</v>
      </c>
      <c r="E245" t="s">
        <v>111</v>
      </c>
      <c r="F245" t="s">
        <v>26</v>
      </c>
      <c r="G245" t="s">
        <v>18</v>
      </c>
      <c r="H245" t="s">
        <v>28</v>
      </c>
      <c r="I245" t="s">
        <v>106</v>
      </c>
      <c r="J245" t="s">
        <v>190</v>
      </c>
      <c r="K245">
        <v>2</v>
      </c>
      <c r="L245" s="4">
        <v>600</v>
      </c>
      <c r="M245" s="10">
        <f t="shared" si="3"/>
        <v>1200</v>
      </c>
    </row>
    <row r="246" spans="1:13">
      <c r="A246" t="s">
        <v>370</v>
      </c>
      <c r="B246" s="9">
        <v>45998</v>
      </c>
      <c r="C246" t="s">
        <v>169</v>
      </c>
      <c r="D246" t="s">
        <v>24</v>
      </c>
      <c r="E246" t="s">
        <v>17</v>
      </c>
      <c r="F246" t="s">
        <v>17</v>
      </c>
      <c r="G246" t="s">
        <v>52</v>
      </c>
      <c r="H246" t="s">
        <v>28</v>
      </c>
      <c r="I246" t="s">
        <v>20</v>
      </c>
      <c r="J246" t="s">
        <v>21</v>
      </c>
      <c r="K246">
        <v>2</v>
      </c>
      <c r="L246" s="4">
        <v>952</v>
      </c>
      <c r="M246" s="10">
        <f t="shared" si="3"/>
        <v>1904</v>
      </c>
    </row>
    <row r="247" spans="1:13">
      <c r="A247" t="s">
        <v>371</v>
      </c>
      <c r="B247" s="9">
        <v>45889</v>
      </c>
      <c r="C247" t="s">
        <v>37</v>
      </c>
      <c r="D247" t="s">
        <v>43</v>
      </c>
      <c r="E247" t="s">
        <v>51</v>
      </c>
      <c r="F247" t="s">
        <v>45</v>
      </c>
      <c r="G247" t="s">
        <v>27</v>
      </c>
      <c r="H247" t="s">
        <v>46</v>
      </c>
      <c r="I247" t="s">
        <v>62</v>
      </c>
      <c r="J247" t="s">
        <v>87</v>
      </c>
      <c r="K247">
        <v>1</v>
      </c>
      <c r="L247" s="4">
        <v>21753</v>
      </c>
      <c r="M247" s="10">
        <f t="shared" si="3"/>
        <v>21753</v>
      </c>
    </row>
    <row r="248" spans="1:13">
      <c r="A248" t="s">
        <v>372</v>
      </c>
      <c r="B248" s="9">
        <v>45734</v>
      </c>
      <c r="C248" t="s">
        <v>110</v>
      </c>
      <c r="D248" t="s">
        <v>15</v>
      </c>
      <c r="E248" t="s">
        <v>33</v>
      </c>
      <c r="F248" t="s">
        <v>34</v>
      </c>
      <c r="G248" t="s">
        <v>18</v>
      </c>
      <c r="H248" t="s">
        <v>28</v>
      </c>
      <c r="I248" t="s">
        <v>62</v>
      </c>
      <c r="J248" t="s">
        <v>256</v>
      </c>
      <c r="K248">
        <v>1</v>
      </c>
      <c r="L248" s="4">
        <v>18093</v>
      </c>
      <c r="M248" s="10">
        <f t="shared" si="3"/>
        <v>18093</v>
      </c>
    </row>
    <row r="249" spans="1:13">
      <c r="A249" t="s">
        <v>373</v>
      </c>
      <c r="B249" s="9">
        <v>45679</v>
      </c>
      <c r="C249" t="s">
        <v>42</v>
      </c>
      <c r="D249" t="s">
        <v>15</v>
      </c>
      <c r="E249" t="s">
        <v>57</v>
      </c>
      <c r="F249" t="s">
        <v>57</v>
      </c>
      <c r="G249" t="s">
        <v>27</v>
      </c>
      <c r="H249" t="s">
        <v>28</v>
      </c>
      <c r="I249" t="s">
        <v>59</v>
      </c>
      <c r="J249" t="s">
        <v>66</v>
      </c>
      <c r="K249">
        <v>5</v>
      </c>
      <c r="L249" s="4">
        <v>284</v>
      </c>
      <c r="M249" s="10">
        <f t="shared" si="3"/>
        <v>1420</v>
      </c>
    </row>
    <row r="250" spans="1:13">
      <c r="A250" t="s">
        <v>374</v>
      </c>
      <c r="B250" s="9">
        <v>45779</v>
      </c>
      <c r="C250" t="s">
        <v>76</v>
      </c>
      <c r="D250" t="s">
        <v>15</v>
      </c>
      <c r="E250" t="s">
        <v>105</v>
      </c>
      <c r="F250" t="s">
        <v>45</v>
      </c>
      <c r="G250" t="s">
        <v>52</v>
      </c>
      <c r="H250" t="s">
        <v>28</v>
      </c>
      <c r="I250" t="s">
        <v>59</v>
      </c>
      <c r="J250" t="s">
        <v>60</v>
      </c>
      <c r="K250">
        <v>5</v>
      </c>
      <c r="L250" s="4">
        <v>1158</v>
      </c>
      <c r="M250" s="10">
        <f t="shared" si="3"/>
        <v>5790</v>
      </c>
    </row>
    <row r="251" spans="1:13">
      <c r="A251" t="s">
        <v>375</v>
      </c>
      <c r="B251" s="9">
        <v>45659</v>
      </c>
      <c r="C251" t="s">
        <v>213</v>
      </c>
      <c r="D251" t="s">
        <v>15</v>
      </c>
      <c r="E251" t="s">
        <v>17</v>
      </c>
      <c r="F251" t="s">
        <v>17</v>
      </c>
      <c r="G251" t="s">
        <v>18</v>
      </c>
      <c r="H251" t="s">
        <v>28</v>
      </c>
      <c r="I251" t="s">
        <v>29</v>
      </c>
      <c r="J251" t="s">
        <v>100</v>
      </c>
      <c r="K251">
        <v>2</v>
      </c>
      <c r="L251" s="4">
        <v>5881</v>
      </c>
      <c r="M251" s="10">
        <f t="shared" si="3"/>
        <v>11762</v>
      </c>
    </row>
    <row r="252" spans="1:13">
      <c r="A252" t="s">
        <v>376</v>
      </c>
      <c r="B252" s="9">
        <v>45663</v>
      </c>
      <c r="C252" t="s">
        <v>65</v>
      </c>
      <c r="D252" t="s">
        <v>15</v>
      </c>
      <c r="E252" t="s">
        <v>25</v>
      </c>
      <c r="F252" t="s">
        <v>26</v>
      </c>
      <c r="G252" t="s">
        <v>18</v>
      </c>
      <c r="H252" t="s">
        <v>58</v>
      </c>
      <c r="I252" t="s">
        <v>59</v>
      </c>
      <c r="J252" t="s">
        <v>130</v>
      </c>
      <c r="K252">
        <v>2</v>
      </c>
      <c r="L252" s="4">
        <v>849</v>
      </c>
      <c r="M252" s="10">
        <f t="shared" si="3"/>
        <v>1698</v>
      </c>
    </row>
    <row r="253" spans="1:13">
      <c r="A253" t="s">
        <v>377</v>
      </c>
      <c r="B253" s="9">
        <v>45863</v>
      </c>
      <c r="C253" t="s">
        <v>240</v>
      </c>
      <c r="D253" t="s">
        <v>15</v>
      </c>
      <c r="E253" t="s">
        <v>57</v>
      </c>
      <c r="F253" t="s">
        <v>57</v>
      </c>
      <c r="G253" t="s">
        <v>27</v>
      </c>
      <c r="H253" t="s">
        <v>46</v>
      </c>
      <c r="I253" t="s">
        <v>39</v>
      </c>
      <c r="J253" t="s">
        <v>40</v>
      </c>
      <c r="K253">
        <v>2</v>
      </c>
      <c r="L253" s="4">
        <v>439</v>
      </c>
      <c r="M253" s="10">
        <f t="shared" si="3"/>
        <v>878</v>
      </c>
    </row>
    <row r="254" spans="1:13">
      <c r="A254" t="s">
        <v>378</v>
      </c>
      <c r="B254" s="9">
        <v>45746</v>
      </c>
      <c r="C254" t="s">
        <v>149</v>
      </c>
      <c r="D254" t="s">
        <v>24</v>
      </c>
      <c r="E254" t="s">
        <v>17</v>
      </c>
      <c r="F254" t="s">
        <v>17</v>
      </c>
      <c r="G254" t="s">
        <v>27</v>
      </c>
      <c r="H254" t="s">
        <v>58</v>
      </c>
      <c r="I254" t="s">
        <v>59</v>
      </c>
      <c r="J254" t="s">
        <v>130</v>
      </c>
      <c r="K254">
        <v>1</v>
      </c>
      <c r="L254" s="4">
        <v>924</v>
      </c>
      <c r="M254" s="10">
        <f t="shared" si="3"/>
        <v>924</v>
      </c>
    </row>
    <row r="255" spans="1:13">
      <c r="A255" t="s">
        <v>379</v>
      </c>
      <c r="B255" s="9">
        <v>45840</v>
      </c>
      <c r="C255" t="s">
        <v>132</v>
      </c>
      <c r="D255" t="s">
        <v>24</v>
      </c>
      <c r="E255" t="s">
        <v>56</v>
      </c>
      <c r="F255" t="s">
        <v>57</v>
      </c>
      <c r="G255" t="s">
        <v>18</v>
      </c>
      <c r="H255" t="s">
        <v>46</v>
      </c>
      <c r="I255" t="s">
        <v>47</v>
      </c>
      <c r="J255" t="s">
        <v>103</v>
      </c>
      <c r="K255">
        <v>4</v>
      </c>
      <c r="L255" s="4">
        <v>367</v>
      </c>
      <c r="M255" s="10">
        <f t="shared" si="3"/>
        <v>1468</v>
      </c>
    </row>
    <row r="256" spans="1:13">
      <c r="A256" t="s">
        <v>380</v>
      </c>
      <c r="B256" s="9">
        <v>45726</v>
      </c>
      <c r="C256" t="s">
        <v>320</v>
      </c>
      <c r="D256" t="s">
        <v>15</v>
      </c>
      <c r="E256" t="s">
        <v>17</v>
      </c>
      <c r="F256" t="s">
        <v>17</v>
      </c>
      <c r="G256" t="s">
        <v>18</v>
      </c>
      <c r="H256" t="s">
        <v>19</v>
      </c>
      <c r="I256" t="s">
        <v>29</v>
      </c>
      <c r="J256" t="s">
        <v>153</v>
      </c>
      <c r="K256">
        <v>5</v>
      </c>
      <c r="L256" s="4">
        <v>4424</v>
      </c>
      <c r="M256" s="10">
        <f t="shared" si="3"/>
        <v>22120</v>
      </c>
    </row>
    <row r="257" spans="1:13">
      <c r="A257" t="s">
        <v>381</v>
      </c>
      <c r="B257" s="9">
        <v>45755</v>
      </c>
      <c r="C257" t="s">
        <v>82</v>
      </c>
      <c r="D257" t="s">
        <v>15</v>
      </c>
      <c r="E257" t="s">
        <v>38</v>
      </c>
      <c r="F257" t="s">
        <v>34</v>
      </c>
      <c r="G257" t="s">
        <v>27</v>
      </c>
      <c r="H257" t="s">
        <v>58</v>
      </c>
      <c r="I257" t="s">
        <v>59</v>
      </c>
      <c r="J257" t="s">
        <v>112</v>
      </c>
      <c r="K257">
        <v>5</v>
      </c>
      <c r="L257" s="4">
        <v>1202</v>
      </c>
      <c r="M257" s="10">
        <f t="shared" si="3"/>
        <v>6010</v>
      </c>
    </row>
    <row r="258" spans="1:13">
      <c r="A258" t="s">
        <v>382</v>
      </c>
      <c r="B258" s="9">
        <v>45820</v>
      </c>
      <c r="C258" t="s">
        <v>195</v>
      </c>
      <c r="D258" t="s">
        <v>43</v>
      </c>
      <c r="E258" t="s">
        <v>69</v>
      </c>
      <c r="F258" t="s">
        <v>45</v>
      </c>
      <c r="G258" t="s">
        <v>18</v>
      </c>
      <c r="H258" t="s">
        <v>28</v>
      </c>
      <c r="I258" t="s">
        <v>79</v>
      </c>
      <c r="J258" t="s">
        <v>242</v>
      </c>
      <c r="K258">
        <v>5</v>
      </c>
      <c r="L258" s="4">
        <v>4764</v>
      </c>
      <c r="M258" s="10">
        <f t="shared" ref="M258:M321" si="4">K258*L258</f>
        <v>23820</v>
      </c>
    </row>
    <row r="259" spans="1:13">
      <c r="A259" t="s">
        <v>383</v>
      </c>
      <c r="B259" s="9">
        <v>45973</v>
      </c>
      <c r="C259" t="s">
        <v>202</v>
      </c>
      <c r="D259" t="s">
        <v>24</v>
      </c>
      <c r="E259" t="s">
        <v>25</v>
      </c>
      <c r="F259" t="s">
        <v>26</v>
      </c>
      <c r="G259" t="s">
        <v>72</v>
      </c>
      <c r="H259" t="s">
        <v>28</v>
      </c>
      <c r="I259" t="s">
        <v>106</v>
      </c>
      <c r="J259" t="s">
        <v>190</v>
      </c>
      <c r="K259">
        <v>1</v>
      </c>
      <c r="L259" s="4">
        <v>1519</v>
      </c>
      <c r="M259" s="10">
        <f t="shared" si="4"/>
        <v>1519</v>
      </c>
    </row>
    <row r="260" spans="1:13">
      <c r="A260" t="s">
        <v>384</v>
      </c>
      <c r="B260" s="9">
        <v>45959</v>
      </c>
      <c r="C260" t="s">
        <v>91</v>
      </c>
      <c r="D260" t="s">
        <v>43</v>
      </c>
      <c r="E260" t="s">
        <v>16</v>
      </c>
      <c r="F260" t="s">
        <v>17</v>
      </c>
      <c r="G260" t="s">
        <v>18</v>
      </c>
      <c r="H260" t="s">
        <v>28</v>
      </c>
      <c r="I260" t="s">
        <v>62</v>
      </c>
      <c r="J260" t="s">
        <v>73</v>
      </c>
      <c r="K260">
        <v>3</v>
      </c>
      <c r="L260" s="4">
        <v>17266</v>
      </c>
      <c r="M260" s="10">
        <f t="shared" si="4"/>
        <v>51798</v>
      </c>
    </row>
    <row r="261" spans="1:13">
      <c r="A261" t="s">
        <v>385</v>
      </c>
      <c r="B261" s="9">
        <v>45968</v>
      </c>
      <c r="C261" t="s">
        <v>68</v>
      </c>
      <c r="D261" t="s">
        <v>24</v>
      </c>
      <c r="E261" t="s">
        <v>105</v>
      </c>
      <c r="F261" t="s">
        <v>45</v>
      </c>
      <c r="G261" t="s">
        <v>18</v>
      </c>
      <c r="H261" t="s">
        <v>28</v>
      </c>
      <c r="I261" t="s">
        <v>20</v>
      </c>
      <c r="J261" t="s">
        <v>123</v>
      </c>
      <c r="K261">
        <v>2</v>
      </c>
      <c r="L261" s="4">
        <v>251</v>
      </c>
      <c r="M261" s="10">
        <f t="shared" si="4"/>
        <v>502</v>
      </c>
    </row>
    <row r="262" spans="1:13">
      <c r="A262" t="s">
        <v>386</v>
      </c>
      <c r="B262" s="9">
        <v>45872</v>
      </c>
      <c r="C262" t="s">
        <v>169</v>
      </c>
      <c r="D262" t="s">
        <v>15</v>
      </c>
      <c r="E262" t="s">
        <v>56</v>
      </c>
      <c r="F262" t="s">
        <v>57</v>
      </c>
      <c r="G262" t="s">
        <v>27</v>
      </c>
      <c r="H262" t="s">
        <v>19</v>
      </c>
      <c r="I262" t="s">
        <v>62</v>
      </c>
      <c r="J262" t="s">
        <v>256</v>
      </c>
      <c r="K262">
        <v>3</v>
      </c>
      <c r="L262" s="4">
        <v>9266</v>
      </c>
      <c r="M262" s="10">
        <f t="shared" si="4"/>
        <v>27798</v>
      </c>
    </row>
    <row r="263" spans="1:13">
      <c r="A263" t="s">
        <v>387</v>
      </c>
      <c r="B263" s="9">
        <v>46019</v>
      </c>
      <c r="C263" t="s">
        <v>149</v>
      </c>
      <c r="D263" t="s">
        <v>24</v>
      </c>
      <c r="E263" t="s">
        <v>33</v>
      </c>
      <c r="F263" t="s">
        <v>34</v>
      </c>
      <c r="G263" t="s">
        <v>52</v>
      </c>
      <c r="H263" t="s">
        <v>46</v>
      </c>
      <c r="I263" t="s">
        <v>62</v>
      </c>
      <c r="J263" t="s">
        <v>73</v>
      </c>
      <c r="K263">
        <v>3</v>
      </c>
      <c r="L263" s="4">
        <v>1553</v>
      </c>
      <c r="M263" s="10">
        <f t="shared" si="4"/>
        <v>4659</v>
      </c>
    </row>
    <row r="264" spans="1:13">
      <c r="A264" t="s">
        <v>388</v>
      </c>
      <c r="B264" s="9">
        <v>45675</v>
      </c>
      <c r="C264" t="s">
        <v>50</v>
      </c>
      <c r="D264" t="s">
        <v>15</v>
      </c>
      <c r="E264" t="s">
        <v>33</v>
      </c>
      <c r="F264" t="s">
        <v>34</v>
      </c>
      <c r="G264" t="s">
        <v>52</v>
      </c>
      <c r="H264" t="s">
        <v>19</v>
      </c>
      <c r="I264" t="s">
        <v>39</v>
      </c>
      <c r="J264" t="s">
        <v>188</v>
      </c>
      <c r="K264">
        <v>3</v>
      </c>
      <c r="L264" s="4">
        <v>287</v>
      </c>
      <c r="M264" s="10">
        <f t="shared" si="4"/>
        <v>861</v>
      </c>
    </row>
    <row r="265" spans="1:13">
      <c r="A265" t="s">
        <v>389</v>
      </c>
      <c r="B265" s="9">
        <v>46008</v>
      </c>
      <c r="C265" t="s">
        <v>320</v>
      </c>
      <c r="D265" t="s">
        <v>43</v>
      </c>
      <c r="E265" t="s">
        <v>56</v>
      </c>
      <c r="F265" t="s">
        <v>57</v>
      </c>
      <c r="G265" t="s">
        <v>18</v>
      </c>
      <c r="H265" t="s">
        <v>28</v>
      </c>
      <c r="I265" t="s">
        <v>106</v>
      </c>
      <c r="J265" t="s">
        <v>133</v>
      </c>
      <c r="K265">
        <v>4</v>
      </c>
      <c r="L265" s="4">
        <v>759</v>
      </c>
      <c r="M265" s="10">
        <f t="shared" si="4"/>
        <v>3036</v>
      </c>
    </row>
    <row r="266" spans="1:13">
      <c r="A266" t="s">
        <v>390</v>
      </c>
      <c r="B266" s="9">
        <v>46021</v>
      </c>
      <c r="C266" t="s">
        <v>82</v>
      </c>
      <c r="D266" t="s">
        <v>24</v>
      </c>
      <c r="E266" t="s">
        <v>33</v>
      </c>
      <c r="F266" t="s">
        <v>34</v>
      </c>
      <c r="G266" t="s">
        <v>27</v>
      </c>
      <c r="H266" t="s">
        <v>28</v>
      </c>
      <c r="I266" t="s">
        <v>106</v>
      </c>
      <c r="J266" t="s">
        <v>190</v>
      </c>
      <c r="K266">
        <v>5</v>
      </c>
      <c r="L266" s="4">
        <v>933</v>
      </c>
      <c r="M266" s="10">
        <f t="shared" si="4"/>
        <v>4665</v>
      </c>
    </row>
    <row r="267" spans="1:13">
      <c r="A267" t="s">
        <v>391</v>
      </c>
      <c r="B267" s="9">
        <v>45714</v>
      </c>
      <c r="C267" t="s">
        <v>140</v>
      </c>
      <c r="D267" t="s">
        <v>43</v>
      </c>
      <c r="E267" t="s">
        <v>38</v>
      </c>
      <c r="F267" t="s">
        <v>34</v>
      </c>
      <c r="G267" t="s">
        <v>52</v>
      </c>
      <c r="H267" t="s">
        <v>46</v>
      </c>
      <c r="I267" t="s">
        <v>79</v>
      </c>
      <c r="J267" t="s">
        <v>242</v>
      </c>
      <c r="K267">
        <v>1</v>
      </c>
      <c r="L267" s="4">
        <v>4589</v>
      </c>
      <c r="M267" s="10">
        <f t="shared" si="4"/>
        <v>4589</v>
      </c>
    </row>
    <row r="268" spans="1:13">
      <c r="A268" t="s">
        <v>392</v>
      </c>
      <c r="B268" s="9">
        <v>45720</v>
      </c>
      <c r="C268" t="s">
        <v>184</v>
      </c>
      <c r="D268" t="s">
        <v>15</v>
      </c>
      <c r="E268" t="s">
        <v>51</v>
      </c>
      <c r="F268" t="s">
        <v>45</v>
      </c>
      <c r="G268" t="s">
        <v>27</v>
      </c>
      <c r="H268" t="s">
        <v>19</v>
      </c>
      <c r="I268" t="s">
        <v>29</v>
      </c>
      <c r="J268" t="s">
        <v>92</v>
      </c>
      <c r="K268">
        <v>1</v>
      </c>
      <c r="L268" s="4">
        <v>6502</v>
      </c>
      <c r="M268" s="10">
        <f t="shared" si="4"/>
        <v>6502</v>
      </c>
    </row>
    <row r="269" spans="1:13">
      <c r="A269" t="s">
        <v>393</v>
      </c>
      <c r="B269" s="9">
        <v>45728</v>
      </c>
      <c r="C269" t="s">
        <v>96</v>
      </c>
      <c r="D269" t="s">
        <v>24</v>
      </c>
      <c r="E269" t="s">
        <v>56</v>
      </c>
      <c r="F269" t="s">
        <v>57</v>
      </c>
      <c r="G269" t="s">
        <v>18</v>
      </c>
      <c r="H269" t="s">
        <v>46</v>
      </c>
      <c r="I269" t="s">
        <v>79</v>
      </c>
      <c r="J269" t="s">
        <v>80</v>
      </c>
      <c r="K269">
        <v>3</v>
      </c>
      <c r="L269" s="4">
        <v>4016</v>
      </c>
      <c r="M269" s="10">
        <f t="shared" si="4"/>
        <v>12048</v>
      </c>
    </row>
    <row r="270" spans="1:13">
      <c r="A270" t="s">
        <v>394</v>
      </c>
      <c r="B270" s="9">
        <v>45845</v>
      </c>
      <c r="C270" t="s">
        <v>99</v>
      </c>
      <c r="D270" t="s">
        <v>24</v>
      </c>
      <c r="E270" t="s">
        <v>56</v>
      </c>
      <c r="F270" t="s">
        <v>57</v>
      </c>
      <c r="G270" t="s">
        <v>27</v>
      </c>
      <c r="H270" t="s">
        <v>28</v>
      </c>
      <c r="I270" t="s">
        <v>20</v>
      </c>
      <c r="J270" t="s">
        <v>35</v>
      </c>
      <c r="K270">
        <v>1</v>
      </c>
      <c r="L270" s="4">
        <v>1887</v>
      </c>
      <c r="M270" s="10">
        <f t="shared" si="4"/>
        <v>1887</v>
      </c>
    </row>
    <row r="271" spans="1:13">
      <c r="A271" t="s">
        <v>395</v>
      </c>
      <c r="B271" s="9">
        <v>45948</v>
      </c>
      <c r="C271" t="s">
        <v>184</v>
      </c>
      <c r="D271" t="s">
        <v>24</v>
      </c>
      <c r="E271" t="s">
        <v>57</v>
      </c>
      <c r="F271" t="s">
        <v>57</v>
      </c>
      <c r="G271" t="s">
        <v>18</v>
      </c>
      <c r="H271" t="s">
        <v>58</v>
      </c>
      <c r="I271" t="s">
        <v>79</v>
      </c>
      <c r="J271" t="s">
        <v>242</v>
      </c>
      <c r="K271">
        <v>5</v>
      </c>
      <c r="L271" s="4">
        <v>4763</v>
      </c>
      <c r="M271" s="10">
        <f t="shared" si="4"/>
        <v>23815</v>
      </c>
    </row>
    <row r="272" spans="1:13">
      <c r="A272" t="s">
        <v>396</v>
      </c>
      <c r="B272" s="9">
        <v>45895</v>
      </c>
      <c r="C272" t="s">
        <v>195</v>
      </c>
      <c r="D272" t="s">
        <v>15</v>
      </c>
      <c r="E272" t="s">
        <v>97</v>
      </c>
      <c r="F272" t="s">
        <v>34</v>
      </c>
      <c r="G272" t="s">
        <v>18</v>
      </c>
      <c r="H272" t="s">
        <v>28</v>
      </c>
      <c r="I272" t="s">
        <v>20</v>
      </c>
      <c r="J272" t="s">
        <v>53</v>
      </c>
      <c r="K272">
        <v>2</v>
      </c>
      <c r="L272" s="4">
        <v>1336</v>
      </c>
      <c r="M272" s="10">
        <f t="shared" si="4"/>
        <v>2672</v>
      </c>
    </row>
    <row r="273" spans="1:13">
      <c r="A273" t="s">
        <v>397</v>
      </c>
      <c r="B273" s="9">
        <v>45754</v>
      </c>
      <c r="C273" t="s">
        <v>202</v>
      </c>
      <c r="D273" t="s">
        <v>15</v>
      </c>
      <c r="E273" t="s">
        <v>16</v>
      </c>
      <c r="F273" t="s">
        <v>17</v>
      </c>
      <c r="G273" t="s">
        <v>18</v>
      </c>
      <c r="H273" t="s">
        <v>46</v>
      </c>
      <c r="I273" t="s">
        <v>59</v>
      </c>
      <c r="J273" t="s">
        <v>66</v>
      </c>
      <c r="K273">
        <v>3</v>
      </c>
      <c r="L273" s="4">
        <v>360</v>
      </c>
      <c r="M273" s="10">
        <f t="shared" si="4"/>
        <v>1080</v>
      </c>
    </row>
    <row r="274" spans="1:13">
      <c r="A274" t="s">
        <v>398</v>
      </c>
      <c r="B274" s="9">
        <v>45911</v>
      </c>
      <c r="C274" t="s">
        <v>50</v>
      </c>
      <c r="D274" t="s">
        <v>15</v>
      </c>
      <c r="E274" t="s">
        <v>16</v>
      </c>
      <c r="F274" t="s">
        <v>17</v>
      </c>
      <c r="G274" t="s">
        <v>18</v>
      </c>
      <c r="H274" t="s">
        <v>46</v>
      </c>
      <c r="I274" t="s">
        <v>79</v>
      </c>
      <c r="J274" t="s">
        <v>89</v>
      </c>
      <c r="K274">
        <v>5</v>
      </c>
      <c r="L274" s="4">
        <v>3233</v>
      </c>
      <c r="M274" s="10">
        <f t="shared" si="4"/>
        <v>16165</v>
      </c>
    </row>
    <row r="275" spans="1:13">
      <c r="A275" t="s">
        <v>399</v>
      </c>
      <c r="B275" s="9">
        <v>45729</v>
      </c>
      <c r="C275" t="s">
        <v>145</v>
      </c>
      <c r="D275" t="s">
        <v>15</v>
      </c>
      <c r="E275" t="s">
        <v>44</v>
      </c>
      <c r="F275" t="s">
        <v>45</v>
      </c>
      <c r="G275" t="s">
        <v>18</v>
      </c>
      <c r="H275" t="s">
        <v>46</v>
      </c>
      <c r="I275" t="s">
        <v>79</v>
      </c>
      <c r="J275" t="s">
        <v>138</v>
      </c>
      <c r="K275">
        <v>5</v>
      </c>
      <c r="L275" s="4">
        <v>2543</v>
      </c>
      <c r="M275" s="10">
        <f t="shared" si="4"/>
        <v>12715</v>
      </c>
    </row>
    <row r="276" spans="1:13">
      <c r="A276" t="s">
        <v>400</v>
      </c>
      <c r="B276" s="9">
        <v>45667</v>
      </c>
      <c r="C276" t="s">
        <v>401</v>
      </c>
      <c r="D276" t="s">
        <v>15</v>
      </c>
      <c r="E276" t="s">
        <v>69</v>
      </c>
      <c r="F276" t="s">
        <v>45</v>
      </c>
      <c r="G276" t="s">
        <v>27</v>
      </c>
      <c r="H276" t="s">
        <v>46</v>
      </c>
      <c r="I276" t="s">
        <v>20</v>
      </c>
      <c r="J276" t="s">
        <v>123</v>
      </c>
      <c r="K276">
        <v>5</v>
      </c>
      <c r="L276" s="4">
        <v>1691</v>
      </c>
      <c r="M276" s="10">
        <f t="shared" si="4"/>
        <v>8455</v>
      </c>
    </row>
    <row r="277" spans="1:13">
      <c r="A277" t="s">
        <v>402</v>
      </c>
      <c r="B277" s="9">
        <v>45856</v>
      </c>
      <c r="C277" t="s">
        <v>91</v>
      </c>
      <c r="D277" t="s">
        <v>15</v>
      </c>
      <c r="E277" t="s">
        <v>25</v>
      </c>
      <c r="F277" t="s">
        <v>26</v>
      </c>
      <c r="G277" t="s">
        <v>18</v>
      </c>
      <c r="H277" t="s">
        <v>46</v>
      </c>
      <c r="I277" t="s">
        <v>47</v>
      </c>
      <c r="J277" t="s">
        <v>48</v>
      </c>
      <c r="K277">
        <v>1</v>
      </c>
      <c r="L277" s="4">
        <v>365</v>
      </c>
      <c r="M277" s="10">
        <f t="shared" si="4"/>
        <v>365</v>
      </c>
    </row>
    <row r="278" spans="1:13">
      <c r="A278" t="s">
        <v>403</v>
      </c>
      <c r="B278" s="9">
        <v>45921</v>
      </c>
      <c r="C278" t="s">
        <v>149</v>
      </c>
      <c r="D278" t="s">
        <v>43</v>
      </c>
      <c r="E278" t="s">
        <v>44</v>
      </c>
      <c r="F278" t="s">
        <v>45</v>
      </c>
      <c r="G278" t="s">
        <v>18</v>
      </c>
      <c r="H278" t="s">
        <v>19</v>
      </c>
      <c r="I278" t="s">
        <v>20</v>
      </c>
      <c r="J278" t="s">
        <v>35</v>
      </c>
      <c r="K278">
        <v>3</v>
      </c>
      <c r="L278" s="4">
        <v>2222</v>
      </c>
      <c r="M278" s="10">
        <f t="shared" si="4"/>
        <v>6666</v>
      </c>
    </row>
    <row r="279" spans="1:13">
      <c r="A279" t="s">
        <v>404</v>
      </c>
      <c r="B279" s="9">
        <v>45767</v>
      </c>
      <c r="C279" t="s">
        <v>184</v>
      </c>
      <c r="D279" t="s">
        <v>15</v>
      </c>
      <c r="E279" t="s">
        <v>56</v>
      </c>
      <c r="F279" t="s">
        <v>57</v>
      </c>
      <c r="G279" t="s">
        <v>18</v>
      </c>
      <c r="H279" t="s">
        <v>28</v>
      </c>
      <c r="I279" t="s">
        <v>39</v>
      </c>
      <c r="J279" t="s">
        <v>188</v>
      </c>
      <c r="K279">
        <v>1</v>
      </c>
      <c r="L279" s="4">
        <v>241</v>
      </c>
      <c r="M279" s="10">
        <f t="shared" si="4"/>
        <v>241</v>
      </c>
    </row>
    <row r="280" spans="1:13">
      <c r="A280" t="s">
        <v>405</v>
      </c>
      <c r="B280" s="9">
        <v>45852</v>
      </c>
      <c r="C280" t="s">
        <v>240</v>
      </c>
      <c r="D280" t="s">
        <v>24</v>
      </c>
      <c r="E280" t="s">
        <v>17</v>
      </c>
      <c r="F280" t="s">
        <v>17</v>
      </c>
      <c r="G280" t="s">
        <v>52</v>
      </c>
      <c r="H280" t="s">
        <v>19</v>
      </c>
      <c r="I280" t="s">
        <v>20</v>
      </c>
      <c r="J280" t="s">
        <v>123</v>
      </c>
      <c r="K280">
        <v>4</v>
      </c>
      <c r="L280" s="4">
        <v>1213</v>
      </c>
      <c r="M280" s="10">
        <f t="shared" si="4"/>
        <v>4852</v>
      </c>
    </row>
    <row r="281" spans="1:13">
      <c r="A281" t="s">
        <v>406</v>
      </c>
      <c r="B281" s="9">
        <v>45937</v>
      </c>
      <c r="C281" t="s">
        <v>65</v>
      </c>
      <c r="D281" t="s">
        <v>15</v>
      </c>
      <c r="E281" t="s">
        <v>33</v>
      </c>
      <c r="F281" t="s">
        <v>34</v>
      </c>
      <c r="G281" t="s">
        <v>27</v>
      </c>
      <c r="H281" t="s">
        <v>58</v>
      </c>
      <c r="I281" t="s">
        <v>29</v>
      </c>
      <c r="J281" t="s">
        <v>92</v>
      </c>
      <c r="K281">
        <v>3</v>
      </c>
      <c r="L281" s="4">
        <v>4640</v>
      </c>
      <c r="M281" s="10">
        <f t="shared" si="4"/>
        <v>13920</v>
      </c>
    </row>
    <row r="282" spans="1:13">
      <c r="A282" t="s">
        <v>407</v>
      </c>
      <c r="B282" s="9">
        <v>45795</v>
      </c>
      <c r="C282" t="s">
        <v>149</v>
      </c>
      <c r="D282" t="s">
        <v>24</v>
      </c>
      <c r="E282" t="s">
        <v>56</v>
      </c>
      <c r="F282" t="s">
        <v>57</v>
      </c>
      <c r="G282" t="s">
        <v>18</v>
      </c>
      <c r="H282" t="s">
        <v>28</v>
      </c>
      <c r="I282" t="s">
        <v>20</v>
      </c>
      <c r="J282" t="s">
        <v>21</v>
      </c>
      <c r="K282">
        <v>3</v>
      </c>
      <c r="L282" s="4">
        <v>2398</v>
      </c>
      <c r="M282" s="10">
        <f t="shared" si="4"/>
        <v>7194</v>
      </c>
    </row>
    <row r="283" spans="1:13">
      <c r="A283" t="s">
        <v>408</v>
      </c>
      <c r="B283" s="9">
        <v>45967</v>
      </c>
      <c r="C283" t="s">
        <v>209</v>
      </c>
      <c r="D283" t="s">
        <v>24</v>
      </c>
      <c r="E283" t="s">
        <v>84</v>
      </c>
      <c r="F283" t="s">
        <v>26</v>
      </c>
      <c r="G283" t="s">
        <v>18</v>
      </c>
      <c r="H283" t="s">
        <v>46</v>
      </c>
      <c r="I283" t="s">
        <v>39</v>
      </c>
      <c r="J283" t="s">
        <v>125</v>
      </c>
      <c r="K283">
        <v>5</v>
      </c>
      <c r="L283" s="4">
        <v>195</v>
      </c>
      <c r="M283" s="10">
        <f t="shared" si="4"/>
        <v>975</v>
      </c>
    </row>
    <row r="284" spans="1:13">
      <c r="A284" t="s">
        <v>409</v>
      </c>
      <c r="B284" s="9">
        <v>45866</v>
      </c>
      <c r="C284" t="s">
        <v>102</v>
      </c>
      <c r="D284" t="s">
        <v>43</v>
      </c>
      <c r="E284" t="s">
        <v>56</v>
      </c>
      <c r="F284" t="s">
        <v>57</v>
      </c>
      <c r="G284" t="s">
        <v>52</v>
      </c>
      <c r="H284" t="s">
        <v>46</v>
      </c>
      <c r="I284" t="s">
        <v>20</v>
      </c>
      <c r="J284" t="s">
        <v>53</v>
      </c>
      <c r="K284">
        <v>3</v>
      </c>
      <c r="L284" s="4">
        <v>2160</v>
      </c>
      <c r="M284" s="10">
        <f t="shared" si="4"/>
        <v>6480</v>
      </c>
    </row>
    <row r="285" spans="1:13">
      <c r="A285" t="s">
        <v>410</v>
      </c>
      <c r="B285" s="9">
        <v>45941</v>
      </c>
      <c r="C285" t="s">
        <v>91</v>
      </c>
      <c r="D285" t="s">
        <v>15</v>
      </c>
      <c r="E285" t="s">
        <v>111</v>
      </c>
      <c r="F285" t="s">
        <v>26</v>
      </c>
      <c r="G285" t="s">
        <v>18</v>
      </c>
      <c r="H285" t="s">
        <v>19</v>
      </c>
      <c r="I285" t="s">
        <v>79</v>
      </c>
      <c r="J285" t="s">
        <v>89</v>
      </c>
      <c r="K285">
        <v>1</v>
      </c>
      <c r="L285" s="4">
        <v>5707</v>
      </c>
      <c r="M285" s="10">
        <f t="shared" si="4"/>
        <v>5707</v>
      </c>
    </row>
    <row r="286" spans="1:13">
      <c r="A286" t="s">
        <v>411</v>
      </c>
      <c r="B286" s="9">
        <v>45881</v>
      </c>
      <c r="C286" t="s">
        <v>195</v>
      </c>
      <c r="D286" t="s">
        <v>43</v>
      </c>
      <c r="E286" t="s">
        <v>51</v>
      </c>
      <c r="F286" t="s">
        <v>45</v>
      </c>
      <c r="G286" t="s">
        <v>27</v>
      </c>
      <c r="H286" t="s">
        <v>46</v>
      </c>
      <c r="I286" t="s">
        <v>59</v>
      </c>
      <c r="J286" t="s">
        <v>112</v>
      </c>
      <c r="K286">
        <v>2</v>
      </c>
      <c r="L286" s="4">
        <v>115</v>
      </c>
      <c r="M286" s="10">
        <f t="shared" si="4"/>
        <v>230</v>
      </c>
    </row>
    <row r="287" spans="1:13">
      <c r="A287" t="s">
        <v>412</v>
      </c>
      <c r="B287" s="9">
        <v>45898</v>
      </c>
      <c r="C287" t="s">
        <v>50</v>
      </c>
      <c r="D287" t="s">
        <v>24</v>
      </c>
      <c r="E287" t="s">
        <v>56</v>
      </c>
      <c r="F287" t="s">
        <v>57</v>
      </c>
      <c r="G287" t="s">
        <v>52</v>
      </c>
      <c r="H287" t="s">
        <v>46</v>
      </c>
      <c r="I287" t="s">
        <v>47</v>
      </c>
      <c r="J287" t="s">
        <v>48</v>
      </c>
      <c r="K287">
        <v>1</v>
      </c>
      <c r="L287" s="4">
        <v>342</v>
      </c>
      <c r="M287" s="10">
        <f t="shared" si="4"/>
        <v>342</v>
      </c>
    </row>
    <row r="288" spans="1:13">
      <c r="A288" t="s">
        <v>413</v>
      </c>
      <c r="B288" s="9">
        <v>45947</v>
      </c>
      <c r="C288" t="s">
        <v>114</v>
      </c>
      <c r="D288" t="s">
        <v>24</v>
      </c>
      <c r="E288" t="s">
        <v>44</v>
      </c>
      <c r="F288" t="s">
        <v>45</v>
      </c>
      <c r="G288" t="s">
        <v>18</v>
      </c>
      <c r="H288" t="s">
        <v>58</v>
      </c>
      <c r="I288" t="s">
        <v>20</v>
      </c>
      <c r="J288" t="s">
        <v>21</v>
      </c>
      <c r="K288">
        <v>3</v>
      </c>
      <c r="L288" s="4">
        <v>382</v>
      </c>
      <c r="M288" s="10">
        <f t="shared" si="4"/>
        <v>1146</v>
      </c>
    </row>
    <row r="289" spans="1:13">
      <c r="A289" t="s">
        <v>414</v>
      </c>
      <c r="B289" s="9">
        <v>45798</v>
      </c>
      <c r="C289" t="s">
        <v>320</v>
      </c>
      <c r="D289" t="s">
        <v>15</v>
      </c>
      <c r="E289" t="s">
        <v>105</v>
      </c>
      <c r="F289" t="s">
        <v>45</v>
      </c>
      <c r="G289" t="s">
        <v>72</v>
      </c>
      <c r="H289" t="s">
        <v>46</v>
      </c>
      <c r="I289" t="s">
        <v>39</v>
      </c>
      <c r="J289" t="s">
        <v>120</v>
      </c>
      <c r="K289">
        <v>3</v>
      </c>
      <c r="L289" s="4">
        <v>199</v>
      </c>
      <c r="M289" s="10">
        <f t="shared" si="4"/>
        <v>597</v>
      </c>
    </row>
    <row r="290" spans="1:13">
      <c r="A290" t="s">
        <v>415</v>
      </c>
      <c r="B290" s="9">
        <v>45929</v>
      </c>
      <c r="C290" t="s">
        <v>149</v>
      </c>
      <c r="D290" t="s">
        <v>24</v>
      </c>
      <c r="E290" t="s">
        <v>17</v>
      </c>
      <c r="F290" t="s">
        <v>17</v>
      </c>
      <c r="G290" t="s">
        <v>18</v>
      </c>
      <c r="H290" t="s">
        <v>46</v>
      </c>
      <c r="I290" t="s">
        <v>39</v>
      </c>
      <c r="J290" t="s">
        <v>120</v>
      </c>
      <c r="K290">
        <v>3</v>
      </c>
      <c r="L290" s="4">
        <v>211</v>
      </c>
      <c r="M290" s="10">
        <f t="shared" si="4"/>
        <v>633</v>
      </c>
    </row>
    <row r="291" spans="1:13">
      <c r="A291" t="s">
        <v>416</v>
      </c>
      <c r="B291" s="9">
        <v>45739</v>
      </c>
      <c r="C291" t="s">
        <v>129</v>
      </c>
      <c r="D291" t="s">
        <v>24</v>
      </c>
      <c r="E291" t="s">
        <v>84</v>
      </c>
      <c r="F291" t="s">
        <v>26</v>
      </c>
      <c r="G291" t="s">
        <v>18</v>
      </c>
      <c r="H291" t="s">
        <v>28</v>
      </c>
      <c r="I291" t="s">
        <v>79</v>
      </c>
      <c r="J291" t="s">
        <v>80</v>
      </c>
      <c r="K291">
        <v>5</v>
      </c>
      <c r="L291" s="4">
        <v>462</v>
      </c>
      <c r="M291" s="10">
        <f t="shared" si="4"/>
        <v>2310</v>
      </c>
    </row>
    <row r="292" spans="1:13">
      <c r="A292" t="s">
        <v>417</v>
      </c>
      <c r="B292" s="9">
        <v>45793</v>
      </c>
      <c r="C292" t="s">
        <v>135</v>
      </c>
      <c r="D292" t="s">
        <v>15</v>
      </c>
      <c r="E292" t="s">
        <v>97</v>
      </c>
      <c r="F292" t="s">
        <v>34</v>
      </c>
      <c r="G292" t="s">
        <v>27</v>
      </c>
      <c r="H292" t="s">
        <v>46</v>
      </c>
      <c r="I292" t="s">
        <v>47</v>
      </c>
      <c r="J292" t="s">
        <v>48</v>
      </c>
      <c r="K292">
        <v>2</v>
      </c>
      <c r="L292" s="4">
        <v>295</v>
      </c>
      <c r="M292" s="10">
        <f t="shared" si="4"/>
        <v>590</v>
      </c>
    </row>
    <row r="293" spans="1:13">
      <c r="A293" t="s">
        <v>418</v>
      </c>
      <c r="B293" s="9">
        <v>45986</v>
      </c>
      <c r="C293" t="s">
        <v>325</v>
      </c>
      <c r="D293" t="s">
        <v>15</v>
      </c>
      <c r="E293" t="s">
        <v>25</v>
      </c>
      <c r="F293" t="s">
        <v>26</v>
      </c>
      <c r="G293" t="s">
        <v>72</v>
      </c>
      <c r="H293" t="s">
        <v>28</v>
      </c>
      <c r="I293" t="s">
        <v>47</v>
      </c>
      <c r="J293" t="s">
        <v>103</v>
      </c>
      <c r="K293">
        <v>5</v>
      </c>
      <c r="L293" s="4">
        <v>194</v>
      </c>
      <c r="M293" s="10">
        <f t="shared" si="4"/>
        <v>970</v>
      </c>
    </row>
    <row r="294" spans="1:13">
      <c r="A294" t="s">
        <v>419</v>
      </c>
      <c r="B294" s="9">
        <v>45905</v>
      </c>
      <c r="C294" t="s">
        <v>198</v>
      </c>
      <c r="D294" t="s">
        <v>24</v>
      </c>
      <c r="E294" t="s">
        <v>56</v>
      </c>
      <c r="F294" t="s">
        <v>57</v>
      </c>
      <c r="G294" t="s">
        <v>72</v>
      </c>
      <c r="H294" t="s">
        <v>19</v>
      </c>
      <c r="I294" t="s">
        <v>106</v>
      </c>
      <c r="J294" t="s">
        <v>163</v>
      </c>
      <c r="K294">
        <v>4</v>
      </c>
      <c r="L294" s="4">
        <v>1052</v>
      </c>
      <c r="M294" s="10">
        <f t="shared" si="4"/>
        <v>4208</v>
      </c>
    </row>
    <row r="295" spans="1:13">
      <c r="A295" t="s">
        <v>420</v>
      </c>
      <c r="B295" s="9">
        <v>45761</v>
      </c>
      <c r="C295" t="s">
        <v>91</v>
      </c>
      <c r="D295" t="s">
        <v>43</v>
      </c>
      <c r="E295" t="s">
        <v>111</v>
      </c>
      <c r="F295" t="s">
        <v>26</v>
      </c>
      <c r="G295" t="s">
        <v>18</v>
      </c>
      <c r="H295" t="s">
        <v>19</v>
      </c>
      <c r="I295" t="s">
        <v>106</v>
      </c>
      <c r="J295" t="s">
        <v>190</v>
      </c>
      <c r="K295">
        <v>4</v>
      </c>
      <c r="L295" s="4">
        <v>994</v>
      </c>
      <c r="M295" s="10">
        <f t="shared" si="4"/>
        <v>3976</v>
      </c>
    </row>
    <row r="296" spans="1:13">
      <c r="A296" t="s">
        <v>421</v>
      </c>
      <c r="B296" s="9">
        <v>45680</v>
      </c>
      <c r="C296" t="s">
        <v>137</v>
      </c>
      <c r="D296" t="s">
        <v>24</v>
      </c>
      <c r="E296" t="s">
        <v>56</v>
      </c>
      <c r="F296" t="s">
        <v>57</v>
      </c>
      <c r="G296" t="s">
        <v>27</v>
      </c>
      <c r="H296" t="s">
        <v>58</v>
      </c>
      <c r="I296" t="s">
        <v>29</v>
      </c>
      <c r="J296" t="s">
        <v>30</v>
      </c>
      <c r="K296">
        <v>5</v>
      </c>
      <c r="L296" s="4">
        <v>7423</v>
      </c>
      <c r="M296" s="10">
        <f t="shared" si="4"/>
        <v>37115</v>
      </c>
    </row>
    <row r="297" spans="1:13">
      <c r="A297" t="s">
        <v>422</v>
      </c>
      <c r="B297" s="9">
        <v>45871</v>
      </c>
      <c r="C297" t="s">
        <v>32</v>
      </c>
      <c r="D297" t="s">
        <v>15</v>
      </c>
      <c r="E297" t="s">
        <v>25</v>
      </c>
      <c r="F297" t="s">
        <v>26</v>
      </c>
      <c r="G297" t="s">
        <v>27</v>
      </c>
      <c r="H297" t="s">
        <v>28</v>
      </c>
      <c r="I297" t="s">
        <v>79</v>
      </c>
      <c r="J297" t="s">
        <v>80</v>
      </c>
      <c r="K297">
        <v>2</v>
      </c>
      <c r="L297" s="4">
        <v>5187</v>
      </c>
      <c r="M297" s="10">
        <f t="shared" si="4"/>
        <v>10374</v>
      </c>
    </row>
    <row r="298" spans="1:13">
      <c r="A298" t="s">
        <v>423</v>
      </c>
      <c r="B298" s="9">
        <v>45687</v>
      </c>
      <c r="C298" t="s">
        <v>68</v>
      </c>
      <c r="D298" t="s">
        <v>43</v>
      </c>
      <c r="E298" t="s">
        <v>44</v>
      </c>
      <c r="F298" t="s">
        <v>45</v>
      </c>
      <c r="G298" t="s">
        <v>18</v>
      </c>
      <c r="H298" t="s">
        <v>28</v>
      </c>
      <c r="I298" t="s">
        <v>39</v>
      </c>
      <c r="J298" t="s">
        <v>188</v>
      </c>
      <c r="K298">
        <v>4</v>
      </c>
      <c r="L298" s="4">
        <v>412</v>
      </c>
      <c r="M298" s="10">
        <f t="shared" si="4"/>
        <v>1648</v>
      </c>
    </row>
    <row r="299" spans="1:13">
      <c r="A299" t="s">
        <v>424</v>
      </c>
      <c r="B299" s="9">
        <v>45951</v>
      </c>
      <c r="C299" t="s">
        <v>209</v>
      </c>
      <c r="D299" t="s">
        <v>24</v>
      </c>
      <c r="E299" t="s">
        <v>38</v>
      </c>
      <c r="F299" t="s">
        <v>34</v>
      </c>
      <c r="G299" t="s">
        <v>18</v>
      </c>
      <c r="H299" t="s">
        <v>46</v>
      </c>
      <c r="I299" t="s">
        <v>47</v>
      </c>
      <c r="J299" t="s">
        <v>103</v>
      </c>
      <c r="K299">
        <v>3</v>
      </c>
      <c r="L299" s="4">
        <v>307</v>
      </c>
      <c r="M299" s="10">
        <f t="shared" si="4"/>
        <v>921</v>
      </c>
    </row>
    <row r="300" spans="1:13">
      <c r="A300" t="s">
        <v>425</v>
      </c>
      <c r="B300" s="9">
        <v>45735</v>
      </c>
      <c r="C300" t="s">
        <v>129</v>
      </c>
      <c r="D300" t="s">
        <v>43</v>
      </c>
      <c r="E300" t="s">
        <v>44</v>
      </c>
      <c r="F300" t="s">
        <v>45</v>
      </c>
      <c r="G300" t="s">
        <v>52</v>
      </c>
      <c r="H300" t="s">
        <v>28</v>
      </c>
      <c r="I300" t="s">
        <v>29</v>
      </c>
      <c r="J300" t="s">
        <v>92</v>
      </c>
      <c r="K300">
        <v>2</v>
      </c>
      <c r="L300" s="4">
        <v>7479</v>
      </c>
      <c r="M300" s="10">
        <f t="shared" si="4"/>
        <v>14958</v>
      </c>
    </row>
    <row r="301" spans="1:13">
      <c r="A301" t="s">
        <v>426</v>
      </c>
      <c r="B301" s="9">
        <v>45858</v>
      </c>
      <c r="C301" t="s">
        <v>174</v>
      </c>
      <c r="D301" t="s">
        <v>15</v>
      </c>
      <c r="E301" t="s">
        <v>51</v>
      </c>
      <c r="F301" t="s">
        <v>45</v>
      </c>
      <c r="G301" t="s">
        <v>27</v>
      </c>
      <c r="H301" t="s">
        <v>28</v>
      </c>
      <c r="I301" t="s">
        <v>79</v>
      </c>
      <c r="J301" t="s">
        <v>89</v>
      </c>
      <c r="K301">
        <v>5</v>
      </c>
      <c r="L301" s="4">
        <v>2437</v>
      </c>
      <c r="M301" s="10">
        <f t="shared" si="4"/>
        <v>12185</v>
      </c>
    </row>
    <row r="302" spans="1:13">
      <c r="A302" t="s">
        <v>427</v>
      </c>
      <c r="B302" s="9">
        <v>45851</v>
      </c>
      <c r="C302" t="s">
        <v>240</v>
      </c>
      <c r="D302" t="s">
        <v>15</v>
      </c>
      <c r="E302" t="s">
        <v>105</v>
      </c>
      <c r="F302" t="s">
        <v>45</v>
      </c>
      <c r="G302" t="s">
        <v>18</v>
      </c>
      <c r="H302" t="s">
        <v>58</v>
      </c>
      <c r="I302" t="s">
        <v>106</v>
      </c>
      <c r="J302" t="s">
        <v>133</v>
      </c>
      <c r="K302">
        <v>3</v>
      </c>
      <c r="L302" s="4">
        <v>1687</v>
      </c>
      <c r="M302" s="10">
        <f t="shared" si="4"/>
        <v>5061</v>
      </c>
    </row>
    <row r="303" spans="1:13">
      <c r="A303" t="s">
        <v>428</v>
      </c>
      <c r="B303" s="9">
        <v>45801</v>
      </c>
      <c r="C303" t="s">
        <v>135</v>
      </c>
      <c r="D303" t="s">
        <v>24</v>
      </c>
      <c r="E303" t="s">
        <v>44</v>
      </c>
      <c r="F303" t="s">
        <v>45</v>
      </c>
      <c r="G303" t="s">
        <v>27</v>
      </c>
      <c r="H303" t="s">
        <v>58</v>
      </c>
      <c r="I303" t="s">
        <v>62</v>
      </c>
      <c r="J303" t="s">
        <v>63</v>
      </c>
      <c r="K303">
        <v>5</v>
      </c>
      <c r="L303" s="4">
        <v>20657</v>
      </c>
      <c r="M303" s="10">
        <f t="shared" si="4"/>
        <v>103285</v>
      </c>
    </row>
    <row r="304" spans="1:13">
      <c r="A304" t="s">
        <v>429</v>
      </c>
      <c r="B304" s="9">
        <v>45887</v>
      </c>
      <c r="C304" t="s">
        <v>55</v>
      </c>
      <c r="D304" t="s">
        <v>15</v>
      </c>
      <c r="E304" t="s">
        <v>69</v>
      </c>
      <c r="F304" t="s">
        <v>45</v>
      </c>
      <c r="G304" t="s">
        <v>27</v>
      </c>
      <c r="H304" t="s">
        <v>58</v>
      </c>
      <c r="I304" t="s">
        <v>62</v>
      </c>
      <c r="J304" t="s">
        <v>256</v>
      </c>
      <c r="K304">
        <v>5</v>
      </c>
      <c r="L304" s="4">
        <v>3753</v>
      </c>
      <c r="M304" s="10">
        <f t="shared" si="4"/>
        <v>18765</v>
      </c>
    </row>
    <row r="305" spans="1:13">
      <c r="A305" t="s">
        <v>430</v>
      </c>
      <c r="B305" s="9">
        <v>45751</v>
      </c>
      <c r="C305" t="s">
        <v>122</v>
      </c>
      <c r="D305" t="s">
        <v>24</v>
      </c>
      <c r="E305" t="s">
        <v>97</v>
      </c>
      <c r="F305" t="s">
        <v>34</v>
      </c>
      <c r="G305" t="s">
        <v>52</v>
      </c>
      <c r="H305" t="s">
        <v>28</v>
      </c>
      <c r="I305" t="s">
        <v>106</v>
      </c>
      <c r="J305" t="s">
        <v>133</v>
      </c>
      <c r="K305">
        <v>4</v>
      </c>
      <c r="L305" s="4">
        <v>1117</v>
      </c>
      <c r="M305" s="10">
        <f t="shared" si="4"/>
        <v>4468</v>
      </c>
    </row>
    <row r="306" spans="1:13">
      <c r="A306" t="s">
        <v>431</v>
      </c>
      <c r="B306" s="9">
        <v>46000</v>
      </c>
      <c r="C306" t="s">
        <v>129</v>
      </c>
      <c r="D306" t="s">
        <v>43</v>
      </c>
      <c r="E306" t="s">
        <v>17</v>
      </c>
      <c r="F306" t="s">
        <v>17</v>
      </c>
      <c r="G306" t="s">
        <v>27</v>
      </c>
      <c r="H306" t="s">
        <v>46</v>
      </c>
      <c r="I306" t="s">
        <v>39</v>
      </c>
      <c r="J306" t="s">
        <v>125</v>
      </c>
      <c r="K306">
        <v>2</v>
      </c>
      <c r="L306" s="4">
        <v>418</v>
      </c>
      <c r="M306" s="10">
        <f t="shared" si="4"/>
        <v>836</v>
      </c>
    </row>
    <row r="307" spans="1:13">
      <c r="A307" t="s">
        <v>432</v>
      </c>
      <c r="B307" s="9">
        <v>45674</v>
      </c>
      <c r="C307" t="s">
        <v>209</v>
      </c>
      <c r="D307" t="s">
        <v>43</v>
      </c>
      <c r="E307" t="s">
        <v>56</v>
      </c>
      <c r="F307" t="s">
        <v>57</v>
      </c>
      <c r="G307" t="s">
        <v>27</v>
      </c>
      <c r="H307" t="s">
        <v>19</v>
      </c>
      <c r="I307" t="s">
        <v>39</v>
      </c>
      <c r="J307" t="s">
        <v>125</v>
      </c>
      <c r="K307">
        <v>3</v>
      </c>
      <c r="L307" s="4">
        <v>306</v>
      </c>
      <c r="M307" s="10">
        <f t="shared" si="4"/>
        <v>918</v>
      </c>
    </row>
    <row r="308" spans="1:13">
      <c r="A308" t="s">
        <v>433</v>
      </c>
      <c r="B308" s="9">
        <v>45790</v>
      </c>
      <c r="C308" t="s">
        <v>271</v>
      </c>
      <c r="D308" t="s">
        <v>43</v>
      </c>
      <c r="E308" t="s">
        <v>17</v>
      </c>
      <c r="F308" t="s">
        <v>17</v>
      </c>
      <c r="G308" t="s">
        <v>27</v>
      </c>
      <c r="H308" t="s">
        <v>58</v>
      </c>
      <c r="I308" t="s">
        <v>79</v>
      </c>
      <c r="J308" t="s">
        <v>138</v>
      </c>
      <c r="K308">
        <v>5</v>
      </c>
      <c r="L308" s="4">
        <v>3054</v>
      </c>
      <c r="M308" s="10">
        <f t="shared" si="4"/>
        <v>15270</v>
      </c>
    </row>
    <row r="309" spans="1:13">
      <c r="A309" t="s">
        <v>434</v>
      </c>
      <c r="B309" s="9">
        <v>45678</v>
      </c>
      <c r="C309" t="s">
        <v>320</v>
      </c>
      <c r="D309" t="s">
        <v>15</v>
      </c>
      <c r="E309" t="s">
        <v>17</v>
      </c>
      <c r="F309" t="s">
        <v>17</v>
      </c>
      <c r="G309" t="s">
        <v>72</v>
      </c>
      <c r="H309" t="s">
        <v>28</v>
      </c>
      <c r="I309" t="s">
        <v>47</v>
      </c>
      <c r="J309" t="s">
        <v>172</v>
      </c>
      <c r="K309">
        <v>2</v>
      </c>
      <c r="L309" s="4">
        <v>425</v>
      </c>
      <c r="M309" s="10">
        <f t="shared" si="4"/>
        <v>850</v>
      </c>
    </row>
    <row r="310" spans="1:13">
      <c r="A310" t="s">
        <v>435</v>
      </c>
      <c r="B310" s="9">
        <v>45893</v>
      </c>
      <c r="C310" t="s">
        <v>42</v>
      </c>
      <c r="D310" t="s">
        <v>15</v>
      </c>
      <c r="E310" t="s">
        <v>57</v>
      </c>
      <c r="F310" t="s">
        <v>57</v>
      </c>
      <c r="G310" t="s">
        <v>18</v>
      </c>
      <c r="H310" t="s">
        <v>28</v>
      </c>
      <c r="I310" t="s">
        <v>20</v>
      </c>
      <c r="J310" t="s">
        <v>123</v>
      </c>
      <c r="K310">
        <v>3</v>
      </c>
      <c r="L310" s="4">
        <v>2873</v>
      </c>
      <c r="M310" s="10">
        <f t="shared" si="4"/>
        <v>8619</v>
      </c>
    </row>
    <row r="311" spans="1:13">
      <c r="A311" t="s">
        <v>436</v>
      </c>
      <c r="B311" s="9">
        <v>45806</v>
      </c>
      <c r="C311" t="s">
        <v>68</v>
      </c>
      <c r="D311" t="s">
        <v>24</v>
      </c>
      <c r="E311" t="s">
        <v>57</v>
      </c>
      <c r="F311" t="s">
        <v>57</v>
      </c>
      <c r="G311" t="s">
        <v>18</v>
      </c>
      <c r="H311" t="s">
        <v>28</v>
      </c>
      <c r="I311" t="s">
        <v>47</v>
      </c>
      <c r="J311" t="s">
        <v>103</v>
      </c>
      <c r="K311">
        <v>4</v>
      </c>
      <c r="L311" s="4">
        <v>111</v>
      </c>
      <c r="M311" s="10">
        <f t="shared" si="4"/>
        <v>444</v>
      </c>
    </row>
    <row r="312" spans="1:13">
      <c r="A312" t="s">
        <v>437</v>
      </c>
      <c r="B312" s="9">
        <v>45777</v>
      </c>
      <c r="C312" t="s">
        <v>147</v>
      </c>
      <c r="D312" t="s">
        <v>24</v>
      </c>
      <c r="E312" t="s">
        <v>44</v>
      </c>
      <c r="F312" t="s">
        <v>45</v>
      </c>
      <c r="G312" t="s">
        <v>72</v>
      </c>
      <c r="H312" t="s">
        <v>19</v>
      </c>
      <c r="I312" t="s">
        <v>39</v>
      </c>
      <c r="J312" t="s">
        <v>125</v>
      </c>
      <c r="K312">
        <v>2</v>
      </c>
      <c r="L312" s="4">
        <v>341</v>
      </c>
      <c r="M312" s="10">
        <f t="shared" si="4"/>
        <v>682</v>
      </c>
    </row>
    <row r="313" spans="1:13">
      <c r="A313" t="s">
        <v>438</v>
      </c>
      <c r="B313" s="9">
        <v>45756</v>
      </c>
      <c r="C313" t="s">
        <v>325</v>
      </c>
      <c r="D313" t="s">
        <v>15</v>
      </c>
      <c r="E313" t="s">
        <v>105</v>
      </c>
      <c r="F313" t="s">
        <v>45</v>
      </c>
      <c r="G313" t="s">
        <v>18</v>
      </c>
      <c r="H313" t="s">
        <v>46</v>
      </c>
      <c r="I313" t="s">
        <v>106</v>
      </c>
      <c r="J313" t="s">
        <v>133</v>
      </c>
      <c r="K313">
        <v>2</v>
      </c>
      <c r="L313" s="4">
        <v>1094</v>
      </c>
      <c r="M313" s="10">
        <f t="shared" si="4"/>
        <v>2188</v>
      </c>
    </row>
    <row r="314" spans="1:13">
      <c r="A314" t="s">
        <v>439</v>
      </c>
      <c r="B314" s="9">
        <v>45758</v>
      </c>
      <c r="C314" t="s">
        <v>68</v>
      </c>
      <c r="D314" t="s">
        <v>43</v>
      </c>
      <c r="E314" t="s">
        <v>51</v>
      </c>
      <c r="F314" t="s">
        <v>45</v>
      </c>
      <c r="G314" t="s">
        <v>18</v>
      </c>
      <c r="H314" t="s">
        <v>28</v>
      </c>
      <c r="I314" t="s">
        <v>47</v>
      </c>
      <c r="J314" t="s">
        <v>103</v>
      </c>
      <c r="K314">
        <v>2</v>
      </c>
      <c r="L314" s="4">
        <v>457</v>
      </c>
      <c r="M314" s="10">
        <f t="shared" si="4"/>
        <v>914</v>
      </c>
    </row>
    <row r="315" spans="1:13">
      <c r="A315" t="s">
        <v>440</v>
      </c>
      <c r="B315" s="9">
        <v>45784</v>
      </c>
      <c r="C315" t="s">
        <v>42</v>
      </c>
      <c r="D315" t="s">
        <v>15</v>
      </c>
      <c r="E315" t="s">
        <v>56</v>
      </c>
      <c r="F315" t="s">
        <v>57</v>
      </c>
      <c r="G315" t="s">
        <v>27</v>
      </c>
      <c r="H315" t="s">
        <v>28</v>
      </c>
      <c r="I315" t="s">
        <v>20</v>
      </c>
      <c r="J315" t="s">
        <v>35</v>
      </c>
      <c r="K315">
        <v>1</v>
      </c>
      <c r="L315" s="4">
        <v>394</v>
      </c>
      <c r="M315" s="10">
        <f t="shared" si="4"/>
        <v>394</v>
      </c>
    </row>
    <row r="316" spans="1:13">
      <c r="A316" t="s">
        <v>441</v>
      </c>
      <c r="B316" s="9">
        <v>45733</v>
      </c>
      <c r="C316" t="s">
        <v>442</v>
      </c>
      <c r="D316" t="s">
        <v>15</v>
      </c>
      <c r="E316" t="s">
        <v>25</v>
      </c>
      <c r="F316" t="s">
        <v>26</v>
      </c>
      <c r="G316" t="s">
        <v>27</v>
      </c>
      <c r="H316" t="s">
        <v>46</v>
      </c>
      <c r="I316" t="s">
        <v>47</v>
      </c>
      <c r="J316" t="s">
        <v>48</v>
      </c>
      <c r="K316">
        <v>1</v>
      </c>
      <c r="L316" s="4">
        <v>304</v>
      </c>
      <c r="M316" s="10">
        <f t="shared" si="4"/>
        <v>304</v>
      </c>
    </row>
    <row r="317" spans="1:13">
      <c r="A317" t="s">
        <v>443</v>
      </c>
      <c r="B317" s="9">
        <v>45888</v>
      </c>
      <c r="C317" t="s">
        <v>442</v>
      </c>
      <c r="D317" t="s">
        <v>15</v>
      </c>
      <c r="E317" t="s">
        <v>33</v>
      </c>
      <c r="F317" t="s">
        <v>34</v>
      </c>
      <c r="G317" t="s">
        <v>72</v>
      </c>
      <c r="H317" t="s">
        <v>58</v>
      </c>
      <c r="I317" t="s">
        <v>29</v>
      </c>
      <c r="J317" t="s">
        <v>100</v>
      </c>
      <c r="K317">
        <v>4</v>
      </c>
      <c r="L317" s="4">
        <v>6186</v>
      </c>
      <c r="M317" s="10">
        <f t="shared" si="4"/>
        <v>24744</v>
      </c>
    </row>
    <row r="318" spans="1:13">
      <c r="A318" t="s">
        <v>444</v>
      </c>
      <c r="B318" s="9">
        <v>45767</v>
      </c>
      <c r="C318" t="s">
        <v>55</v>
      </c>
      <c r="D318" t="s">
        <v>15</v>
      </c>
      <c r="E318" t="s">
        <v>111</v>
      </c>
      <c r="F318" t="s">
        <v>26</v>
      </c>
      <c r="G318" t="s">
        <v>27</v>
      </c>
      <c r="H318" t="s">
        <v>28</v>
      </c>
      <c r="I318" t="s">
        <v>47</v>
      </c>
      <c r="J318" t="s">
        <v>77</v>
      </c>
      <c r="K318">
        <v>3</v>
      </c>
      <c r="L318" s="4">
        <v>499</v>
      </c>
      <c r="M318" s="10">
        <f t="shared" si="4"/>
        <v>1497</v>
      </c>
    </row>
    <row r="319" spans="1:13">
      <c r="A319" t="s">
        <v>445</v>
      </c>
      <c r="B319" s="9">
        <v>45846</v>
      </c>
      <c r="C319" t="s">
        <v>23</v>
      </c>
      <c r="D319" t="s">
        <v>24</v>
      </c>
      <c r="E319" t="s">
        <v>33</v>
      </c>
      <c r="F319" t="s">
        <v>34</v>
      </c>
      <c r="G319" t="s">
        <v>18</v>
      </c>
      <c r="H319" t="s">
        <v>46</v>
      </c>
      <c r="I319" t="s">
        <v>39</v>
      </c>
      <c r="J319" t="s">
        <v>125</v>
      </c>
      <c r="K319">
        <v>2</v>
      </c>
      <c r="L319" s="4">
        <v>237</v>
      </c>
      <c r="M319" s="10">
        <f t="shared" si="4"/>
        <v>474</v>
      </c>
    </row>
    <row r="320" spans="1:13">
      <c r="A320" t="s">
        <v>446</v>
      </c>
      <c r="B320" s="9">
        <v>45799</v>
      </c>
      <c r="C320" t="s">
        <v>37</v>
      </c>
      <c r="D320" t="s">
        <v>15</v>
      </c>
      <c r="E320" t="s">
        <v>69</v>
      </c>
      <c r="F320" t="s">
        <v>45</v>
      </c>
      <c r="G320" t="s">
        <v>18</v>
      </c>
      <c r="H320" t="s">
        <v>46</v>
      </c>
      <c r="I320" t="s">
        <v>62</v>
      </c>
      <c r="J320" t="s">
        <v>87</v>
      </c>
      <c r="K320">
        <v>2</v>
      </c>
      <c r="L320" s="4">
        <v>24296</v>
      </c>
      <c r="M320" s="10">
        <f t="shared" si="4"/>
        <v>48592</v>
      </c>
    </row>
    <row r="321" spans="1:13">
      <c r="A321" t="s">
        <v>447</v>
      </c>
      <c r="B321" s="9">
        <v>45906</v>
      </c>
      <c r="C321" t="s">
        <v>169</v>
      </c>
      <c r="D321" t="s">
        <v>24</v>
      </c>
      <c r="E321" t="s">
        <v>17</v>
      </c>
      <c r="F321" t="s">
        <v>17</v>
      </c>
      <c r="G321" t="s">
        <v>72</v>
      </c>
      <c r="H321" t="s">
        <v>46</v>
      </c>
      <c r="I321" t="s">
        <v>29</v>
      </c>
      <c r="J321" t="s">
        <v>100</v>
      </c>
      <c r="K321">
        <v>2</v>
      </c>
      <c r="L321" s="4">
        <v>5249</v>
      </c>
      <c r="M321" s="10">
        <f t="shared" si="4"/>
        <v>10498</v>
      </c>
    </row>
    <row r="322" spans="1:13">
      <c r="A322" t="s">
        <v>448</v>
      </c>
      <c r="B322" s="9">
        <v>45988</v>
      </c>
      <c r="C322" t="s">
        <v>55</v>
      </c>
      <c r="D322" t="s">
        <v>15</v>
      </c>
      <c r="E322" t="s">
        <v>33</v>
      </c>
      <c r="F322" t="s">
        <v>34</v>
      </c>
      <c r="G322" t="s">
        <v>52</v>
      </c>
      <c r="H322" t="s">
        <v>46</v>
      </c>
      <c r="I322" t="s">
        <v>59</v>
      </c>
      <c r="J322" t="s">
        <v>130</v>
      </c>
      <c r="K322">
        <v>5</v>
      </c>
      <c r="L322" s="4">
        <v>496</v>
      </c>
      <c r="M322" s="10">
        <f t="shared" ref="M322:M385" si="5">K322*L322</f>
        <v>2480</v>
      </c>
    </row>
    <row r="323" spans="1:13">
      <c r="A323" t="s">
        <v>449</v>
      </c>
      <c r="B323" s="9">
        <v>45873</v>
      </c>
      <c r="C323" t="s">
        <v>158</v>
      </c>
      <c r="D323" t="s">
        <v>15</v>
      </c>
      <c r="E323" t="s">
        <v>33</v>
      </c>
      <c r="F323" t="s">
        <v>34</v>
      </c>
      <c r="G323" t="s">
        <v>27</v>
      </c>
      <c r="H323" t="s">
        <v>28</v>
      </c>
      <c r="I323" t="s">
        <v>79</v>
      </c>
      <c r="J323" t="s">
        <v>138</v>
      </c>
      <c r="K323">
        <v>2</v>
      </c>
      <c r="L323" s="4">
        <v>4724</v>
      </c>
      <c r="M323" s="10">
        <f t="shared" si="5"/>
        <v>9448</v>
      </c>
    </row>
    <row r="324" spans="1:13">
      <c r="A324" t="s">
        <v>450</v>
      </c>
      <c r="B324" s="9">
        <v>46003</v>
      </c>
      <c r="C324" t="s">
        <v>271</v>
      </c>
      <c r="D324" t="s">
        <v>43</v>
      </c>
      <c r="E324" t="s">
        <v>111</v>
      </c>
      <c r="F324" t="s">
        <v>26</v>
      </c>
      <c r="G324" t="s">
        <v>18</v>
      </c>
      <c r="H324" t="s">
        <v>19</v>
      </c>
      <c r="I324" t="s">
        <v>20</v>
      </c>
      <c r="J324" t="s">
        <v>123</v>
      </c>
      <c r="K324">
        <v>3</v>
      </c>
      <c r="L324" s="4">
        <v>2023</v>
      </c>
      <c r="M324" s="10">
        <f t="shared" si="5"/>
        <v>6069</v>
      </c>
    </row>
    <row r="325" spans="1:13">
      <c r="A325" t="s">
        <v>451</v>
      </c>
      <c r="B325" s="9">
        <v>45673</v>
      </c>
      <c r="C325" t="s">
        <v>37</v>
      </c>
      <c r="D325" t="s">
        <v>43</v>
      </c>
      <c r="E325" t="s">
        <v>84</v>
      </c>
      <c r="F325" t="s">
        <v>26</v>
      </c>
      <c r="G325" t="s">
        <v>27</v>
      </c>
      <c r="H325" t="s">
        <v>19</v>
      </c>
      <c r="I325" t="s">
        <v>62</v>
      </c>
      <c r="J325" t="s">
        <v>63</v>
      </c>
      <c r="K325">
        <v>5</v>
      </c>
      <c r="L325" s="4">
        <v>12462</v>
      </c>
      <c r="M325" s="10">
        <f t="shared" si="5"/>
        <v>62310</v>
      </c>
    </row>
    <row r="326" spans="1:13">
      <c r="A326" t="s">
        <v>452</v>
      </c>
      <c r="B326" s="9">
        <v>45899</v>
      </c>
      <c r="C326" t="s">
        <v>14</v>
      </c>
      <c r="D326" t="s">
        <v>43</v>
      </c>
      <c r="E326" t="s">
        <v>51</v>
      </c>
      <c r="F326" t="s">
        <v>45</v>
      </c>
      <c r="G326" t="s">
        <v>27</v>
      </c>
      <c r="H326" t="s">
        <v>58</v>
      </c>
      <c r="I326" t="s">
        <v>106</v>
      </c>
      <c r="J326" t="s">
        <v>163</v>
      </c>
      <c r="K326">
        <v>1</v>
      </c>
      <c r="L326" s="4">
        <v>1248</v>
      </c>
      <c r="M326" s="10">
        <f t="shared" si="5"/>
        <v>1248</v>
      </c>
    </row>
    <row r="327" spans="1:13">
      <c r="A327" t="s">
        <v>453</v>
      </c>
      <c r="B327" s="9">
        <v>45792</v>
      </c>
      <c r="C327" t="s">
        <v>240</v>
      </c>
      <c r="D327" t="s">
        <v>15</v>
      </c>
      <c r="E327" t="s">
        <v>111</v>
      </c>
      <c r="F327" t="s">
        <v>26</v>
      </c>
      <c r="G327" t="s">
        <v>27</v>
      </c>
      <c r="H327" t="s">
        <v>28</v>
      </c>
      <c r="I327" t="s">
        <v>47</v>
      </c>
      <c r="J327" t="s">
        <v>103</v>
      </c>
      <c r="K327">
        <v>1</v>
      </c>
      <c r="L327" s="4">
        <v>99</v>
      </c>
      <c r="M327" s="10">
        <f t="shared" si="5"/>
        <v>99</v>
      </c>
    </row>
    <row r="328" spans="1:13">
      <c r="A328" t="s">
        <v>454</v>
      </c>
      <c r="B328" s="9">
        <v>45813</v>
      </c>
      <c r="C328" t="s">
        <v>55</v>
      </c>
      <c r="D328" t="s">
        <v>24</v>
      </c>
      <c r="E328" t="s">
        <v>38</v>
      </c>
      <c r="F328" t="s">
        <v>34</v>
      </c>
      <c r="G328" t="s">
        <v>18</v>
      </c>
      <c r="H328" t="s">
        <v>58</v>
      </c>
      <c r="I328" t="s">
        <v>79</v>
      </c>
      <c r="J328" t="s">
        <v>89</v>
      </c>
      <c r="K328">
        <v>4</v>
      </c>
      <c r="L328" s="4">
        <v>3428</v>
      </c>
      <c r="M328" s="10">
        <f t="shared" si="5"/>
        <v>13712</v>
      </c>
    </row>
    <row r="329" spans="1:13">
      <c r="A329" t="s">
        <v>455</v>
      </c>
      <c r="B329" s="9">
        <v>45683</v>
      </c>
      <c r="C329" t="s">
        <v>198</v>
      </c>
      <c r="D329" t="s">
        <v>24</v>
      </c>
      <c r="E329" t="s">
        <v>51</v>
      </c>
      <c r="F329" t="s">
        <v>45</v>
      </c>
      <c r="G329" t="s">
        <v>18</v>
      </c>
      <c r="H329" t="s">
        <v>19</v>
      </c>
      <c r="I329" t="s">
        <v>59</v>
      </c>
      <c r="J329" t="s">
        <v>130</v>
      </c>
      <c r="K329">
        <v>1</v>
      </c>
      <c r="L329" s="4">
        <v>1066</v>
      </c>
      <c r="M329" s="10">
        <f t="shared" si="5"/>
        <v>1066</v>
      </c>
    </row>
    <row r="330" spans="1:13">
      <c r="A330" t="s">
        <v>456</v>
      </c>
      <c r="B330" s="9">
        <v>45826</v>
      </c>
      <c r="C330" t="s">
        <v>42</v>
      </c>
      <c r="D330" t="s">
        <v>15</v>
      </c>
      <c r="E330" t="s">
        <v>44</v>
      </c>
      <c r="F330" t="s">
        <v>45</v>
      </c>
      <c r="G330" t="s">
        <v>18</v>
      </c>
      <c r="H330" t="s">
        <v>19</v>
      </c>
      <c r="I330" t="s">
        <v>59</v>
      </c>
      <c r="J330" t="s">
        <v>60</v>
      </c>
      <c r="K330">
        <v>5</v>
      </c>
      <c r="L330" s="4">
        <v>770</v>
      </c>
      <c r="M330" s="10">
        <f t="shared" si="5"/>
        <v>3850</v>
      </c>
    </row>
    <row r="331" spans="1:13">
      <c r="A331" t="s">
        <v>457</v>
      </c>
      <c r="B331" s="9">
        <v>45715</v>
      </c>
      <c r="C331" t="s">
        <v>42</v>
      </c>
      <c r="D331" t="s">
        <v>43</v>
      </c>
      <c r="E331" t="s">
        <v>69</v>
      </c>
      <c r="F331" t="s">
        <v>45</v>
      </c>
      <c r="G331" t="s">
        <v>18</v>
      </c>
      <c r="H331" t="s">
        <v>28</v>
      </c>
      <c r="I331" t="s">
        <v>47</v>
      </c>
      <c r="J331" t="s">
        <v>48</v>
      </c>
      <c r="K331">
        <v>4</v>
      </c>
      <c r="L331" s="4">
        <v>558</v>
      </c>
      <c r="M331" s="10">
        <f t="shared" si="5"/>
        <v>2232</v>
      </c>
    </row>
    <row r="332" spans="1:13">
      <c r="A332" t="s">
        <v>458</v>
      </c>
      <c r="B332" s="9">
        <v>45725</v>
      </c>
      <c r="C332" t="s">
        <v>442</v>
      </c>
      <c r="D332" t="s">
        <v>43</v>
      </c>
      <c r="E332" t="s">
        <v>16</v>
      </c>
      <c r="F332" t="s">
        <v>17</v>
      </c>
      <c r="G332" t="s">
        <v>27</v>
      </c>
      <c r="H332" t="s">
        <v>28</v>
      </c>
      <c r="I332" t="s">
        <v>106</v>
      </c>
      <c r="J332" t="s">
        <v>190</v>
      </c>
      <c r="K332">
        <v>2</v>
      </c>
      <c r="L332" s="4">
        <v>1844</v>
      </c>
      <c r="M332" s="10">
        <f t="shared" si="5"/>
        <v>3688</v>
      </c>
    </row>
    <row r="333" spans="1:13">
      <c r="A333" t="s">
        <v>459</v>
      </c>
      <c r="B333" s="9">
        <v>45741</v>
      </c>
      <c r="C333" t="s">
        <v>91</v>
      </c>
      <c r="D333" t="s">
        <v>15</v>
      </c>
      <c r="E333" t="s">
        <v>17</v>
      </c>
      <c r="F333" t="s">
        <v>17</v>
      </c>
      <c r="G333" t="s">
        <v>27</v>
      </c>
      <c r="H333" t="s">
        <v>19</v>
      </c>
      <c r="I333" t="s">
        <v>20</v>
      </c>
      <c r="J333" t="s">
        <v>35</v>
      </c>
      <c r="K333">
        <v>1</v>
      </c>
      <c r="L333" s="4">
        <v>847</v>
      </c>
      <c r="M333" s="10">
        <f t="shared" si="5"/>
        <v>847</v>
      </c>
    </row>
    <row r="334" spans="1:13">
      <c r="A334" t="s">
        <v>460</v>
      </c>
      <c r="B334" s="9">
        <v>45865</v>
      </c>
      <c r="C334" t="s">
        <v>140</v>
      </c>
      <c r="D334" t="s">
        <v>24</v>
      </c>
      <c r="E334" t="s">
        <v>97</v>
      </c>
      <c r="F334" t="s">
        <v>34</v>
      </c>
      <c r="G334" t="s">
        <v>27</v>
      </c>
      <c r="H334" t="s">
        <v>58</v>
      </c>
      <c r="I334" t="s">
        <v>79</v>
      </c>
      <c r="J334" t="s">
        <v>242</v>
      </c>
      <c r="K334">
        <v>5</v>
      </c>
      <c r="L334" s="4">
        <v>312</v>
      </c>
      <c r="M334" s="10">
        <f t="shared" si="5"/>
        <v>1560</v>
      </c>
    </row>
    <row r="335" spans="1:13">
      <c r="A335" t="s">
        <v>461</v>
      </c>
      <c r="B335" s="9">
        <v>45687</v>
      </c>
      <c r="C335" t="s">
        <v>158</v>
      </c>
      <c r="D335" t="s">
        <v>15</v>
      </c>
      <c r="E335" t="s">
        <v>33</v>
      </c>
      <c r="F335" t="s">
        <v>34</v>
      </c>
      <c r="G335" t="s">
        <v>27</v>
      </c>
      <c r="H335" t="s">
        <v>46</v>
      </c>
      <c r="I335" t="s">
        <v>47</v>
      </c>
      <c r="J335" t="s">
        <v>172</v>
      </c>
      <c r="K335">
        <v>2</v>
      </c>
      <c r="L335" s="4">
        <v>150</v>
      </c>
      <c r="M335" s="10">
        <f t="shared" si="5"/>
        <v>300</v>
      </c>
    </row>
    <row r="336" spans="1:13">
      <c r="A336" t="s">
        <v>462</v>
      </c>
      <c r="B336" s="9">
        <v>45875</v>
      </c>
      <c r="C336" t="s">
        <v>149</v>
      </c>
      <c r="D336" t="s">
        <v>15</v>
      </c>
      <c r="E336" t="s">
        <v>51</v>
      </c>
      <c r="F336" t="s">
        <v>45</v>
      </c>
      <c r="G336" t="s">
        <v>18</v>
      </c>
      <c r="H336" t="s">
        <v>58</v>
      </c>
      <c r="I336" t="s">
        <v>79</v>
      </c>
      <c r="J336" t="s">
        <v>89</v>
      </c>
      <c r="K336">
        <v>1</v>
      </c>
      <c r="L336" s="4">
        <v>1779</v>
      </c>
      <c r="M336" s="10">
        <f t="shared" si="5"/>
        <v>1779</v>
      </c>
    </row>
    <row r="337" spans="1:13">
      <c r="A337" t="s">
        <v>463</v>
      </c>
      <c r="B337" s="9">
        <v>45998</v>
      </c>
      <c r="C337" t="s">
        <v>160</v>
      </c>
      <c r="D337" t="s">
        <v>24</v>
      </c>
      <c r="E337" t="s">
        <v>16</v>
      </c>
      <c r="F337" t="s">
        <v>17</v>
      </c>
      <c r="G337" t="s">
        <v>27</v>
      </c>
      <c r="H337" t="s">
        <v>58</v>
      </c>
      <c r="I337" t="s">
        <v>59</v>
      </c>
      <c r="J337" t="s">
        <v>112</v>
      </c>
      <c r="K337">
        <v>1</v>
      </c>
      <c r="L337" s="4">
        <v>259</v>
      </c>
      <c r="M337" s="10">
        <f t="shared" si="5"/>
        <v>259</v>
      </c>
    </row>
    <row r="338" spans="1:13">
      <c r="A338" t="s">
        <v>464</v>
      </c>
      <c r="B338" s="9">
        <v>45942</v>
      </c>
      <c r="C338" t="s">
        <v>82</v>
      </c>
      <c r="D338" t="s">
        <v>24</v>
      </c>
      <c r="E338" t="s">
        <v>17</v>
      </c>
      <c r="F338" t="s">
        <v>17</v>
      </c>
      <c r="G338" t="s">
        <v>72</v>
      </c>
      <c r="H338" t="s">
        <v>19</v>
      </c>
      <c r="I338" t="s">
        <v>29</v>
      </c>
      <c r="J338" t="s">
        <v>153</v>
      </c>
      <c r="K338">
        <v>5</v>
      </c>
      <c r="L338" s="4">
        <v>7093</v>
      </c>
      <c r="M338" s="10">
        <f t="shared" si="5"/>
        <v>35465</v>
      </c>
    </row>
    <row r="339" spans="1:13">
      <c r="A339" t="s">
        <v>465</v>
      </c>
      <c r="B339" s="9">
        <v>45668</v>
      </c>
      <c r="C339" t="s">
        <v>42</v>
      </c>
      <c r="D339" t="s">
        <v>15</v>
      </c>
      <c r="E339" t="s">
        <v>44</v>
      </c>
      <c r="F339" t="s">
        <v>45</v>
      </c>
      <c r="G339" t="s">
        <v>27</v>
      </c>
      <c r="H339" t="s">
        <v>28</v>
      </c>
      <c r="I339" t="s">
        <v>47</v>
      </c>
      <c r="J339" t="s">
        <v>172</v>
      </c>
      <c r="K339">
        <v>5</v>
      </c>
      <c r="L339" s="4">
        <v>598</v>
      </c>
      <c r="M339" s="10">
        <f t="shared" si="5"/>
        <v>2990</v>
      </c>
    </row>
    <row r="340" spans="1:13">
      <c r="A340" t="s">
        <v>466</v>
      </c>
      <c r="B340" s="9">
        <v>45675</v>
      </c>
      <c r="C340" t="s">
        <v>118</v>
      </c>
      <c r="D340" t="s">
        <v>43</v>
      </c>
      <c r="E340" t="s">
        <v>84</v>
      </c>
      <c r="F340" t="s">
        <v>26</v>
      </c>
      <c r="G340" t="s">
        <v>18</v>
      </c>
      <c r="H340" t="s">
        <v>28</v>
      </c>
      <c r="I340" t="s">
        <v>29</v>
      </c>
      <c r="J340" t="s">
        <v>100</v>
      </c>
      <c r="K340">
        <v>5</v>
      </c>
      <c r="L340" s="4">
        <v>913</v>
      </c>
      <c r="M340" s="10">
        <f t="shared" si="5"/>
        <v>4565</v>
      </c>
    </row>
    <row r="341" spans="1:13">
      <c r="A341" t="s">
        <v>467</v>
      </c>
      <c r="B341" s="9">
        <v>45941</v>
      </c>
      <c r="C341" t="s">
        <v>23</v>
      </c>
      <c r="D341" t="s">
        <v>43</v>
      </c>
      <c r="E341" t="s">
        <v>97</v>
      </c>
      <c r="F341" t="s">
        <v>34</v>
      </c>
      <c r="G341" t="s">
        <v>27</v>
      </c>
      <c r="H341" t="s">
        <v>28</v>
      </c>
      <c r="I341" t="s">
        <v>20</v>
      </c>
      <c r="J341" t="s">
        <v>35</v>
      </c>
      <c r="K341">
        <v>1</v>
      </c>
      <c r="L341" s="4">
        <v>916</v>
      </c>
      <c r="M341" s="10">
        <f t="shared" si="5"/>
        <v>916</v>
      </c>
    </row>
    <row r="342" spans="1:13">
      <c r="A342" t="s">
        <v>468</v>
      </c>
      <c r="B342" s="9">
        <v>45953</v>
      </c>
      <c r="C342" t="s">
        <v>174</v>
      </c>
      <c r="D342" t="s">
        <v>24</v>
      </c>
      <c r="E342" t="s">
        <v>97</v>
      </c>
      <c r="F342" t="s">
        <v>34</v>
      </c>
      <c r="G342" t="s">
        <v>18</v>
      </c>
      <c r="H342" t="s">
        <v>46</v>
      </c>
      <c r="I342" t="s">
        <v>39</v>
      </c>
      <c r="J342" t="s">
        <v>120</v>
      </c>
      <c r="K342">
        <v>5</v>
      </c>
      <c r="L342" s="4">
        <v>174</v>
      </c>
      <c r="M342" s="10">
        <f t="shared" si="5"/>
        <v>870</v>
      </c>
    </row>
    <row r="343" spans="1:13">
      <c r="A343" t="s">
        <v>469</v>
      </c>
      <c r="B343" s="9">
        <v>45919</v>
      </c>
      <c r="C343" t="s">
        <v>71</v>
      </c>
      <c r="D343" t="s">
        <v>43</v>
      </c>
      <c r="E343" t="s">
        <v>57</v>
      </c>
      <c r="F343" t="s">
        <v>57</v>
      </c>
      <c r="G343" t="s">
        <v>18</v>
      </c>
      <c r="H343" t="s">
        <v>19</v>
      </c>
      <c r="I343" t="s">
        <v>47</v>
      </c>
      <c r="J343" t="s">
        <v>172</v>
      </c>
      <c r="K343">
        <v>2</v>
      </c>
      <c r="L343" s="4">
        <v>508</v>
      </c>
      <c r="M343" s="10">
        <f t="shared" si="5"/>
        <v>1016</v>
      </c>
    </row>
    <row r="344" spans="1:13">
      <c r="A344" t="s">
        <v>470</v>
      </c>
      <c r="B344" s="9">
        <v>45789</v>
      </c>
      <c r="C344" t="s">
        <v>110</v>
      </c>
      <c r="D344" t="s">
        <v>15</v>
      </c>
      <c r="E344" t="s">
        <v>44</v>
      </c>
      <c r="F344" t="s">
        <v>45</v>
      </c>
      <c r="G344" t="s">
        <v>18</v>
      </c>
      <c r="H344" t="s">
        <v>28</v>
      </c>
      <c r="I344" t="s">
        <v>79</v>
      </c>
      <c r="J344" t="s">
        <v>80</v>
      </c>
      <c r="K344">
        <v>3</v>
      </c>
      <c r="L344" s="4">
        <v>3232</v>
      </c>
      <c r="M344" s="10">
        <f t="shared" si="5"/>
        <v>9696</v>
      </c>
    </row>
    <row r="345" spans="1:13">
      <c r="A345" t="s">
        <v>471</v>
      </c>
      <c r="B345" s="9">
        <v>45977</v>
      </c>
      <c r="C345" t="s">
        <v>122</v>
      </c>
      <c r="D345" t="s">
        <v>24</v>
      </c>
      <c r="E345" t="s">
        <v>25</v>
      </c>
      <c r="F345" t="s">
        <v>26</v>
      </c>
      <c r="G345" t="s">
        <v>18</v>
      </c>
      <c r="H345" t="s">
        <v>46</v>
      </c>
      <c r="I345" t="s">
        <v>20</v>
      </c>
      <c r="J345" t="s">
        <v>35</v>
      </c>
      <c r="K345">
        <v>2</v>
      </c>
      <c r="L345" s="4">
        <v>1221</v>
      </c>
      <c r="M345" s="10">
        <f t="shared" si="5"/>
        <v>2442</v>
      </c>
    </row>
    <row r="346" spans="1:13">
      <c r="A346" t="s">
        <v>472</v>
      </c>
      <c r="B346" s="9">
        <v>45742</v>
      </c>
      <c r="C346" t="s">
        <v>271</v>
      </c>
      <c r="D346" t="s">
        <v>43</v>
      </c>
      <c r="E346" t="s">
        <v>111</v>
      </c>
      <c r="F346" t="s">
        <v>26</v>
      </c>
      <c r="G346" t="s">
        <v>27</v>
      </c>
      <c r="H346" t="s">
        <v>46</v>
      </c>
      <c r="I346" t="s">
        <v>20</v>
      </c>
      <c r="J346" t="s">
        <v>53</v>
      </c>
      <c r="K346">
        <v>1</v>
      </c>
      <c r="L346" s="4">
        <v>1329</v>
      </c>
      <c r="M346" s="10">
        <f t="shared" si="5"/>
        <v>1329</v>
      </c>
    </row>
    <row r="347" spans="1:13">
      <c r="A347" t="s">
        <v>473</v>
      </c>
      <c r="B347" s="9">
        <v>45836</v>
      </c>
      <c r="C347" t="s">
        <v>114</v>
      </c>
      <c r="D347" t="s">
        <v>24</v>
      </c>
      <c r="E347" t="s">
        <v>38</v>
      </c>
      <c r="F347" t="s">
        <v>34</v>
      </c>
      <c r="G347" t="s">
        <v>52</v>
      </c>
      <c r="H347" t="s">
        <v>19</v>
      </c>
      <c r="I347" t="s">
        <v>20</v>
      </c>
      <c r="J347" t="s">
        <v>53</v>
      </c>
      <c r="K347">
        <v>1</v>
      </c>
      <c r="L347" s="4">
        <v>732</v>
      </c>
      <c r="M347" s="10">
        <f t="shared" si="5"/>
        <v>732</v>
      </c>
    </row>
    <row r="348" spans="1:13">
      <c r="A348" t="s">
        <v>474</v>
      </c>
      <c r="B348" s="9">
        <v>45784</v>
      </c>
      <c r="C348" t="s">
        <v>169</v>
      </c>
      <c r="D348" t="s">
        <v>15</v>
      </c>
      <c r="E348" t="s">
        <v>38</v>
      </c>
      <c r="F348" t="s">
        <v>34</v>
      </c>
      <c r="G348" t="s">
        <v>27</v>
      </c>
      <c r="H348" t="s">
        <v>46</v>
      </c>
      <c r="I348" t="s">
        <v>29</v>
      </c>
      <c r="J348" t="s">
        <v>153</v>
      </c>
      <c r="K348">
        <v>5</v>
      </c>
      <c r="L348" s="4">
        <v>2992</v>
      </c>
      <c r="M348" s="10">
        <f t="shared" si="5"/>
        <v>14960</v>
      </c>
    </row>
    <row r="349" spans="1:13">
      <c r="A349" t="s">
        <v>475</v>
      </c>
      <c r="B349" s="9">
        <v>45956</v>
      </c>
      <c r="C349" t="s">
        <v>195</v>
      </c>
      <c r="D349" t="s">
        <v>24</v>
      </c>
      <c r="E349" t="s">
        <v>105</v>
      </c>
      <c r="F349" t="s">
        <v>45</v>
      </c>
      <c r="G349" t="s">
        <v>27</v>
      </c>
      <c r="H349" t="s">
        <v>46</v>
      </c>
      <c r="I349" t="s">
        <v>62</v>
      </c>
      <c r="J349" t="s">
        <v>256</v>
      </c>
      <c r="K349">
        <v>3</v>
      </c>
      <c r="L349" s="4">
        <v>13546</v>
      </c>
      <c r="M349" s="10">
        <f t="shared" si="5"/>
        <v>40638</v>
      </c>
    </row>
    <row r="350" spans="1:13">
      <c r="A350" t="s">
        <v>476</v>
      </c>
      <c r="B350" s="9">
        <v>45974</v>
      </c>
      <c r="C350" t="s">
        <v>99</v>
      </c>
      <c r="D350" t="s">
        <v>43</v>
      </c>
      <c r="E350" t="s">
        <v>57</v>
      </c>
      <c r="F350" t="s">
        <v>57</v>
      </c>
      <c r="G350" t="s">
        <v>18</v>
      </c>
      <c r="H350" t="s">
        <v>46</v>
      </c>
      <c r="I350" t="s">
        <v>29</v>
      </c>
      <c r="J350" t="s">
        <v>92</v>
      </c>
      <c r="K350">
        <v>4</v>
      </c>
      <c r="L350" s="4">
        <v>2391</v>
      </c>
      <c r="M350" s="10">
        <f t="shared" si="5"/>
        <v>9564</v>
      </c>
    </row>
    <row r="351" spans="1:13">
      <c r="A351" t="s">
        <v>477</v>
      </c>
      <c r="B351" s="9">
        <v>45834</v>
      </c>
      <c r="C351" t="s">
        <v>114</v>
      </c>
      <c r="D351" t="s">
        <v>24</v>
      </c>
      <c r="E351" t="s">
        <v>97</v>
      </c>
      <c r="F351" t="s">
        <v>34</v>
      </c>
      <c r="G351" t="s">
        <v>18</v>
      </c>
      <c r="H351" t="s">
        <v>46</v>
      </c>
      <c r="I351" t="s">
        <v>106</v>
      </c>
      <c r="J351" t="s">
        <v>163</v>
      </c>
      <c r="K351">
        <v>1</v>
      </c>
      <c r="L351" s="4">
        <v>1316</v>
      </c>
      <c r="M351" s="10">
        <f t="shared" si="5"/>
        <v>1316</v>
      </c>
    </row>
    <row r="352" spans="1:13">
      <c r="A352" t="s">
        <v>478</v>
      </c>
      <c r="B352" s="9">
        <v>45669</v>
      </c>
      <c r="C352" t="s">
        <v>122</v>
      </c>
      <c r="D352" t="s">
        <v>43</v>
      </c>
      <c r="E352" t="s">
        <v>69</v>
      </c>
      <c r="F352" t="s">
        <v>45</v>
      </c>
      <c r="G352" t="s">
        <v>27</v>
      </c>
      <c r="H352" t="s">
        <v>58</v>
      </c>
      <c r="I352" t="s">
        <v>59</v>
      </c>
      <c r="J352" t="s">
        <v>60</v>
      </c>
      <c r="K352">
        <v>4</v>
      </c>
      <c r="L352" s="4">
        <v>602</v>
      </c>
      <c r="M352" s="10">
        <f t="shared" si="5"/>
        <v>2408</v>
      </c>
    </row>
    <row r="353" spans="1:13">
      <c r="A353" t="s">
        <v>479</v>
      </c>
      <c r="B353" s="9">
        <v>45957</v>
      </c>
      <c r="C353" t="s">
        <v>42</v>
      </c>
      <c r="D353" t="s">
        <v>24</v>
      </c>
      <c r="E353" t="s">
        <v>84</v>
      </c>
      <c r="F353" t="s">
        <v>26</v>
      </c>
      <c r="G353" t="s">
        <v>27</v>
      </c>
      <c r="H353" t="s">
        <v>19</v>
      </c>
      <c r="I353" t="s">
        <v>47</v>
      </c>
      <c r="J353" t="s">
        <v>103</v>
      </c>
      <c r="K353">
        <v>2</v>
      </c>
      <c r="L353" s="4">
        <v>555</v>
      </c>
      <c r="M353" s="10">
        <f t="shared" si="5"/>
        <v>1110</v>
      </c>
    </row>
    <row r="354" spans="1:13">
      <c r="A354" t="s">
        <v>480</v>
      </c>
      <c r="B354" s="9">
        <v>45718</v>
      </c>
      <c r="C354" t="s">
        <v>158</v>
      </c>
      <c r="D354" t="s">
        <v>24</v>
      </c>
      <c r="E354" t="s">
        <v>84</v>
      </c>
      <c r="F354" t="s">
        <v>26</v>
      </c>
      <c r="G354" t="s">
        <v>72</v>
      </c>
      <c r="H354" t="s">
        <v>58</v>
      </c>
      <c r="I354" t="s">
        <v>29</v>
      </c>
      <c r="J354" t="s">
        <v>153</v>
      </c>
      <c r="K354">
        <v>5</v>
      </c>
      <c r="L354" s="4">
        <v>413</v>
      </c>
      <c r="M354" s="10">
        <f t="shared" si="5"/>
        <v>2065</v>
      </c>
    </row>
    <row r="355" spans="1:13">
      <c r="A355" t="s">
        <v>481</v>
      </c>
      <c r="B355" s="9">
        <v>45699</v>
      </c>
      <c r="C355" t="s">
        <v>149</v>
      </c>
      <c r="D355" t="s">
        <v>24</v>
      </c>
      <c r="E355" t="s">
        <v>69</v>
      </c>
      <c r="F355" t="s">
        <v>45</v>
      </c>
      <c r="G355" t="s">
        <v>27</v>
      </c>
      <c r="H355" t="s">
        <v>19</v>
      </c>
      <c r="I355" t="s">
        <v>29</v>
      </c>
      <c r="J355" t="s">
        <v>153</v>
      </c>
      <c r="K355">
        <v>3</v>
      </c>
      <c r="L355" s="4">
        <v>4492</v>
      </c>
      <c r="M355" s="10">
        <f t="shared" si="5"/>
        <v>13476</v>
      </c>
    </row>
    <row r="356" spans="1:13">
      <c r="A356" t="s">
        <v>482</v>
      </c>
      <c r="B356" s="9">
        <v>45885</v>
      </c>
      <c r="C356" t="s">
        <v>320</v>
      </c>
      <c r="D356" t="s">
        <v>24</v>
      </c>
      <c r="E356" t="s">
        <v>17</v>
      </c>
      <c r="F356" t="s">
        <v>17</v>
      </c>
      <c r="G356" t="s">
        <v>27</v>
      </c>
      <c r="H356" t="s">
        <v>19</v>
      </c>
      <c r="I356" t="s">
        <v>59</v>
      </c>
      <c r="J356" t="s">
        <v>130</v>
      </c>
      <c r="K356">
        <v>5</v>
      </c>
      <c r="L356" s="4">
        <v>400</v>
      </c>
      <c r="M356" s="10">
        <f t="shared" si="5"/>
        <v>2000</v>
      </c>
    </row>
    <row r="357" spans="1:13">
      <c r="A357" t="s">
        <v>483</v>
      </c>
      <c r="B357" s="9">
        <v>45977</v>
      </c>
      <c r="C357" t="s">
        <v>160</v>
      </c>
      <c r="D357" t="s">
        <v>15</v>
      </c>
      <c r="E357" t="s">
        <v>97</v>
      </c>
      <c r="F357" t="s">
        <v>34</v>
      </c>
      <c r="G357" t="s">
        <v>27</v>
      </c>
      <c r="H357" t="s">
        <v>19</v>
      </c>
      <c r="I357" t="s">
        <v>29</v>
      </c>
      <c r="J357" t="s">
        <v>92</v>
      </c>
      <c r="K357">
        <v>5</v>
      </c>
      <c r="L357" s="4">
        <v>1033</v>
      </c>
      <c r="M357" s="10">
        <f t="shared" si="5"/>
        <v>5165</v>
      </c>
    </row>
    <row r="358" spans="1:13">
      <c r="A358" t="s">
        <v>484</v>
      </c>
      <c r="B358" s="9">
        <v>46010</v>
      </c>
      <c r="C358" t="s">
        <v>102</v>
      </c>
      <c r="D358" t="s">
        <v>24</v>
      </c>
      <c r="E358" t="s">
        <v>25</v>
      </c>
      <c r="F358" t="s">
        <v>26</v>
      </c>
      <c r="G358" t="s">
        <v>18</v>
      </c>
      <c r="H358" t="s">
        <v>28</v>
      </c>
      <c r="I358" t="s">
        <v>20</v>
      </c>
      <c r="J358" t="s">
        <v>35</v>
      </c>
      <c r="K358">
        <v>1</v>
      </c>
      <c r="L358" s="4">
        <v>1394</v>
      </c>
      <c r="M358" s="10">
        <f t="shared" si="5"/>
        <v>1394</v>
      </c>
    </row>
    <row r="359" spans="1:13">
      <c r="A359" t="s">
        <v>485</v>
      </c>
      <c r="B359" s="9">
        <v>45740</v>
      </c>
      <c r="C359" t="s">
        <v>145</v>
      </c>
      <c r="D359" t="s">
        <v>43</v>
      </c>
      <c r="E359" t="s">
        <v>69</v>
      </c>
      <c r="F359" t="s">
        <v>45</v>
      </c>
      <c r="G359" t="s">
        <v>18</v>
      </c>
      <c r="H359" t="s">
        <v>28</v>
      </c>
      <c r="I359" t="s">
        <v>47</v>
      </c>
      <c r="J359" t="s">
        <v>77</v>
      </c>
      <c r="K359">
        <v>1</v>
      </c>
      <c r="L359" s="4">
        <v>76</v>
      </c>
      <c r="M359" s="10">
        <f t="shared" si="5"/>
        <v>76</v>
      </c>
    </row>
    <row r="360" spans="1:13">
      <c r="A360" t="s">
        <v>486</v>
      </c>
      <c r="B360" s="9">
        <v>45856</v>
      </c>
      <c r="C360" t="s">
        <v>65</v>
      </c>
      <c r="D360" t="s">
        <v>15</v>
      </c>
      <c r="E360" t="s">
        <v>25</v>
      </c>
      <c r="F360" t="s">
        <v>26</v>
      </c>
      <c r="G360" t="s">
        <v>18</v>
      </c>
      <c r="H360" t="s">
        <v>28</v>
      </c>
      <c r="I360" t="s">
        <v>106</v>
      </c>
      <c r="J360" t="s">
        <v>190</v>
      </c>
      <c r="K360">
        <v>2</v>
      </c>
      <c r="L360" s="4">
        <v>1445</v>
      </c>
      <c r="M360" s="10">
        <f t="shared" si="5"/>
        <v>2890</v>
      </c>
    </row>
    <row r="361" spans="1:13">
      <c r="A361" t="s">
        <v>487</v>
      </c>
      <c r="B361" s="9">
        <v>45794</v>
      </c>
      <c r="C361" t="s">
        <v>42</v>
      </c>
      <c r="D361" t="s">
        <v>15</v>
      </c>
      <c r="E361" t="s">
        <v>38</v>
      </c>
      <c r="F361" t="s">
        <v>34</v>
      </c>
      <c r="G361" t="s">
        <v>27</v>
      </c>
      <c r="H361" t="s">
        <v>19</v>
      </c>
      <c r="I361" t="s">
        <v>29</v>
      </c>
      <c r="J361" t="s">
        <v>30</v>
      </c>
      <c r="K361">
        <v>1</v>
      </c>
      <c r="L361" s="4">
        <v>1860</v>
      </c>
      <c r="M361" s="10">
        <f t="shared" si="5"/>
        <v>1860</v>
      </c>
    </row>
    <row r="362" spans="1:13">
      <c r="A362" t="s">
        <v>488</v>
      </c>
      <c r="B362" s="9">
        <v>45894</v>
      </c>
      <c r="C362" t="s">
        <v>176</v>
      </c>
      <c r="D362" t="s">
        <v>43</v>
      </c>
      <c r="E362" t="s">
        <v>17</v>
      </c>
      <c r="F362" t="s">
        <v>17</v>
      </c>
      <c r="G362" t="s">
        <v>52</v>
      </c>
      <c r="H362" t="s">
        <v>58</v>
      </c>
      <c r="I362" t="s">
        <v>62</v>
      </c>
      <c r="J362" t="s">
        <v>73</v>
      </c>
      <c r="K362">
        <v>5</v>
      </c>
      <c r="L362" s="4">
        <v>10996</v>
      </c>
      <c r="M362" s="10">
        <f t="shared" si="5"/>
        <v>54980</v>
      </c>
    </row>
    <row r="363" spans="1:13">
      <c r="A363" t="s">
        <v>489</v>
      </c>
      <c r="B363" s="9">
        <v>45694</v>
      </c>
      <c r="C363" t="s">
        <v>147</v>
      </c>
      <c r="D363" t="s">
        <v>15</v>
      </c>
      <c r="E363" t="s">
        <v>44</v>
      </c>
      <c r="F363" t="s">
        <v>45</v>
      </c>
      <c r="G363" t="s">
        <v>27</v>
      </c>
      <c r="H363" t="s">
        <v>58</v>
      </c>
      <c r="I363" t="s">
        <v>79</v>
      </c>
      <c r="J363" t="s">
        <v>242</v>
      </c>
      <c r="K363">
        <v>3</v>
      </c>
      <c r="L363" s="4">
        <v>1365</v>
      </c>
      <c r="M363" s="10">
        <f t="shared" si="5"/>
        <v>4095</v>
      </c>
    </row>
    <row r="364" spans="1:13">
      <c r="A364" t="s">
        <v>490</v>
      </c>
      <c r="B364" s="9">
        <v>45974</v>
      </c>
      <c r="C364" t="s">
        <v>86</v>
      </c>
      <c r="D364" t="s">
        <v>15</v>
      </c>
      <c r="E364" t="s">
        <v>17</v>
      </c>
      <c r="F364" t="s">
        <v>17</v>
      </c>
      <c r="G364" t="s">
        <v>18</v>
      </c>
      <c r="H364" t="s">
        <v>19</v>
      </c>
      <c r="I364" t="s">
        <v>20</v>
      </c>
      <c r="J364" t="s">
        <v>35</v>
      </c>
      <c r="K364">
        <v>1</v>
      </c>
      <c r="L364" s="4">
        <v>1197</v>
      </c>
      <c r="M364" s="10">
        <f t="shared" si="5"/>
        <v>1197</v>
      </c>
    </row>
    <row r="365" spans="1:13">
      <c r="A365" t="s">
        <v>491</v>
      </c>
      <c r="B365" s="9">
        <v>45860</v>
      </c>
      <c r="C365" t="s">
        <v>140</v>
      </c>
      <c r="D365" t="s">
        <v>43</v>
      </c>
      <c r="E365" t="s">
        <v>105</v>
      </c>
      <c r="F365" t="s">
        <v>45</v>
      </c>
      <c r="G365" t="s">
        <v>27</v>
      </c>
      <c r="H365" t="s">
        <v>28</v>
      </c>
      <c r="I365" t="s">
        <v>39</v>
      </c>
      <c r="J365" t="s">
        <v>120</v>
      </c>
      <c r="K365">
        <v>4</v>
      </c>
      <c r="L365" s="4">
        <v>353</v>
      </c>
      <c r="M365" s="10">
        <f t="shared" si="5"/>
        <v>1412</v>
      </c>
    </row>
    <row r="366" spans="1:13">
      <c r="A366" t="s">
        <v>492</v>
      </c>
      <c r="B366" s="9">
        <v>46001</v>
      </c>
      <c r="C366" t="s">
        <v>32</v>
      </c>
      <c r="D366" t="s">
        <v>24</v>
      </c>
      <c r="E366" t="s">
        <v>105</v>
      </c>
      <c r="F366" t="s">
        <v>45</v>
      </c>
      <c r="G366" t="s">
        <v>27</v>
      </c>
      <c r="H366" t="s">
        <v>19</v>
      </c>
      <c r="I366" t="s">
        <v>59</v>
      </c>
      <c r="J366" t="s">
        <v>60</v>
      </c>
      <c r="K366">
        <v>4</v>
      </c>
      <c r="L366" s="4">
        <v>388</v>
      </c>
      <c r="M366" s="10">
        <f t="shared" si="5"/>
        <v>1552</v>
      </c>
    </row>
    <row r="367" spans="1:13">
      <c r="A367" t="s">
        <v>493</v>
      </c>
      <c r="B367" s="9">
        <v>45875</v>
      </c>
      <c r="C367" t="s">
        <v>129</v>
      </c>
      <c r="D367" t="s">
        <v>15</v>
      </c>
      <c r="E367" t="s">
        <v>51</v>
      </c>
      <c r="F367" t="s">
        <v>45</v>
      </c>
      <c r="G367" t="s">
        <v>27</v>
      </c>
      <c r="H367" t="s">
        <v>19</v>
      </c>
      <c r="I367" t="s">
        <v>62</v>
      </c>
      <c r="J367" t="s">
        <v>73</v>
      </c>
      <c r="K367">
        <v>2</v>
      </c>
      <c r="L367" s="4">
        <v>24728</v>
      </c>
      <c r="M367" s="10">
        <f t="shared" si="5"/>
        <v>49456</v>
      </c>
    </row>
    <row r="368" spans="1:13">
      <c r="A368" t="s">
        <v>494</v>
      </c>
      <c r="B368" s="9">
        <v>45732</v>
      </c>
      <c r="C368" t="s">
        <v>147</v>
      </c>
      <c r="D368" t="s">
        <v>15</v>
      </c>
      <c r="E368" t="s">
        <v>111</v>
      </c>
      <c r="F368" t="s">
        <v>26</v>
      </c>
      <c r="G368" t="s">
        <v>72</v>
      </c>
      <c r="H368" t="s">
        <v>28</v>
      </c>
      <c r="I368" t="s">
        <v>29</v>
      </c>
      <c r="J368" t="s">
        <v>92</v>
      </c>
      <c r="K368">
        <v>3</v>
      </c>
      <c r="L368" s="4">
        <v>2823</v>
      </c>
      <c r="M368" s="10">
        <f t="shared" si="5"/>
        <v>8469</v>
      </c>
    </row>
    <row r="369" spans="1:13">
      <c r="A369" t="s">
        <v>495</v>
      </c>
      <c r="B369" s="9">
        <v>45874</v>
      </c>
      <c r="C369" t="s">
        <v>91</v>
      </c>
      <c r="D369" t="s">
        <v>15</v>
      </c>
      <c r="E369" t="s">
        <v>69</v>
      </c>
      <c r="F369" t="s">
        <v>45</v>
      </c>
      <c r="G369" t="s">
        <v>18</v>
      </c>
      <c r="H369" t="s">
        <v>19</v>
      </c>
      <c r="I369" t="s">
        <v>106</v>
      </c>
      <c r="J369" t="s">
        <v>190</v>
      </c>
      <c r="K369">
        <v>4</v>
      </c>
      <c r="L369" s="4">
        <v>371</v>
      </c>
      <c r="M369" s="10">
        <f t="shared" si="5"/>
        <v>1484</v>
      </c>
    </row>
    <row r="370" spans="1:13">
      <c r="A370" t="s">
        <v>496</v>
      </c>
      <c r="B370" s="9">
        <v>45659</v>
      </c>
      <c r="C370" t="s">
        <v>442</v>
      </c>
      <c r="D370" t="s">
        <v>43</v>
      </c>
      <c r="E370" t="s">
        <v>51</v>
      </c>
      <c r="F370" t="s">
        <v>45</v>
      </c>
      <c r="G370" t="s">
        <v>27</v>
      </c>
      <c r="H370" t="s">
        <v>19</v>
      </c>
      <c r="I370" t="s">
        <v>106</v>
      </c>
      <c r="J370" t="s">
        <v>133</v>
      </c>
      <c r="K370">
        <v>3</v>
      </c>
      <c r="L370" s="4">
        <v>1309</v>
      </c>
      <c r="M370" s="10">
        <f t="shared" si="5"/>
        <v>3927</v>
      </c>
    </row>
    <row r="371" spans="1:13">
      <c r="A371" t="s">
        <v>497</v>
      </c>
      <c r="B371" s="9">
        <v>45737</v>
      </c>
      <c r="C371" t="s">
        <v>401</v>
      </c>
      <c r="D371" t="s">
        <v>24</v>
      </c>
      <c r="E371" t="s">
        <v>25</v>
      </c>
      <c r="F371" t="s">
        <v>26</v>
      </c>
      <c r="G371" t="s">
        <v>27</v>
      </c>
      <c r="H371" t="s">
        <v>58</v>
      </c>
      <c r="I371" t="s">
        <v>47</v>
      </c>
      <c r="J371" t="s">
        <v>172</v>
      </c>
      <c r="K371">
        <v>1</v>
      </c>
      <c r="L371" s="4">
        <v>202</v>
      </c>
      <c r="M371" s="10">
        <f t="shared" si="5"/>
        <v>202</v>
      </c>
    </row>
    <row r="372" spans="1:13">
      <c r="A372" t="s">
        <v>498</v>
      </c>
      <c r="B372" s="9">
        <v>45804</v>
      </c>
      <c r="C372" t="s">
        <v>169</v>
      </c>
      <c r="D372" t="s">
        <v>15</v>
      </c>
      <c r="E372" t="s">
        <v>17</v>
      </c>
      <c r="F372" t="s">
        <v>17</v>
      </c>
      <c r="G372" t="s">
        <v>27</v>
      </c>
      <c r="H372" t="s">
        <v>28</v>
      </c>
      <c r="I372" t="s">
        <v>106</v>
      </c>
      <c r="J372" t="s">
        <v>163</v>
      </c>
      <c r="K372">
        <v>4</v>
      </c>
      <c r="L372" s="4">
        <v>860</v>
      </c>
      <c r="M372" s="10">
        <f t="shared" si="5"/>
        <v>3440</v>
      </c>
    </row>
    <row r="373" spans="1:13">
      <c r="A373" t="s">
        <v>499</v>
      </c>
      <c r="B373" s="9">
        <v>45762</v>
      </c>
      <c r="C373" t="s">
        <v>129</v>
      </c>
      <c r="D373" t="s">
        <v>24</v>
      </c>
      <c r="E373" t="s">
        <v>97</v>
      </c>
      <c r="F373" t="s">
        <v>34</v>
      </c>
      <c r="G373" t="s">
        <v>52</v>
      </c>
      <c r="H373" t="s">
        <v>58</v>
      </c>
      <c r="I373" t="s">
        <v>29</v>
      </c>
      <c r="J373" t="s">
        <v>92</v>
      </c>
      <c r="K373">
        <v>4</v>
      </c>
      <c r="L373" s="4">
        <v>7266</v>
      </c>
      <c r="M373" s="10">
        <f t="shared" si="5"/>
        <v>29064</v>
      </c>
    </row>
    <row r="374" spans="1:13">
      <c r="A374" t="s">
        <v>500</v>
      </c>
      <c r="B374" s="9">
        <v>45996</v>
      </c>
      <c r="C374" t="s">
        <v>99</v>
      </c>
      <c r="D374" t="s">
        <v>24</v>
      </c>
      <c r="E374" t="s">
        <v>44</v>
      </c>
      <c r="F374" t="s">
        <v>45</v>
      </c>
      <c r="G374" t="s">
        <v>18</v>
      </c>
      <c r="H374" t="s">
        <v>28</v>
      </c>
      <c r="I374" t="s">
        <v>39</v>
      </c>
      <c r="J374" t="s">
        <v>125</v>
      </c>
      <c r="K374">
        <v>1</v>
      </c>
      <c r="L374" s="4">
        <v>350</v>
      </c>
      <c r="M374" s="10">
        <f t="shared" si="5"/>
        <v>350</v>
      </c>
    </row>
    <row r="375" spans="1:13">
      <c r="A375" t="s">
        <v>501</v>
      </c>
      <c r="B375" s="9">
        <v>45772</v>
      </c>
      <c r="C375" t="s">
        <v>65</v>
      </c>
      <c r="D375" t="s">
        <v>15</v>
      </c>
      <c r="E375" t="s">
        <v>111</v>
      </c>
      <c r="F375" t="s">
        <v>26</v>
      </c>
      <c r="G375" t="s">
        <v>27</v>
      </c>
      <c r="H375" t="s">
        <v>28</v>
      </c>
      <c r="I375" t="s">
        <v>47</v>
      </c>
      <c r="J375" t="s">
        <v>48</v>
      </c>
      <c r="K375">
        <v>2</v>
      </c>
      <c r="L375" s="4">
        <v>350</v>
      </c>
      <c r="M375" s="10">
        <f t="shared" si="5"/>
        <v>700</v>
      </c>
    </row>
    <row r="376" spans="1:13">
      <c r="A376" t="s">
        <v>502</v>
      </c>
      <c r="B376" s="9">
        <v>45848</v>
      </c>
      <c r="C376" t="s">
        <v>118</v>
      </c>
      <c r="D376" t="s">
        <v>15</v>
      </c>
      <c r="E376" t="s">
        <v>97</v>
      </c>
      <c r="F376" t="s">
        <v>34</v>
      </c>
      <c r="G376" t="s">
        <v>27</v>
      </c>
      <c r="H376" t="s">
        <v>46</v>
      </c>
      <c r="I376" t="s">
        <v>39</v>
      </c>
      <c r="J376" t="s">
        <v>125</v>
      </c>
      <c r="K376">
        <v>4</v>
      </c>
      <c r="L376" s="4">
        <v>63</v>
      </c>
      <c r="M376" s="10">
        <f t="shared" si="5"/>
        <v>252</v>
      </c>
    </row>
    <row r="377" spans="1:13">
      <c r="A377" t="s">
        <v>503</v>
      </c>
      <c r="B377" s="9">
        <v>46003</v>
      </c>
      <c r="C377" t="s">
        <v>176</v>
      </c>
      <c r="D377" t="s">
        <v>15</v>
      </c>
      <c r="E377" t="s">
        <v>97</v>
      </c>
      <c r="F377" t="s">
        <v>34</v>
      </c>
      <c r="G377" t="s">
        <v>27</v>
      </c>
      <c r="H377" t="s">
        <v>19</v>
      </c>
      <c r="I377" t="s">
        <v>59</v>
      </c>
      <c r="J377" t="s">
        <v>66</v>
      </c>
      <c r="K377">
        <v>2</v>
      </c>
      <c r="L377" s="4">
        <v>662</v>
      </c>
      <c r="M377" s="10">
        <f t="shared" si="5"/>
        <v>1324</v>
      </c>
    </row>
    <row r="378" spans="1:13">
      <c r="A378" t="s">
        <v>504</v>
      </c>
      <c r="B378" s="9">
        <v>45822</v>
      </c>
      <c r="C378" t="s">
        <v>32</v>
      </c>
      <c r="D378" t="s">
        <v>24</v>
      </c>
      <c r="E378" t="s">
        <v>51</v>
      </c>
      <c r="F378" t="s">
        <v>45</v>
      </c>
      <c r="G378" t="s">
        <v>18</v>
      </c>
      <c r="H378" t="s">
        <v>46</v>
      </c>
      <c r="I378" t="s">
        <v>79</v>
      </c>
      <c r="J378" t="s">
        <v>80</v>
      </c>
      <c r="K378">
        <v>3</v>
      </c>
      <c r="L378" s="4">
        <v>3981</v>
      </c>
      <c r="M378" s="10">
        <f t="shared" si="5"/>
        <v>11943</v>
      </c>
    </row>
    <row r="379" spans="1:13">
      <c r="A379" t="s">
        <v>505</v>
      </c>
      <c r="B379" s="9">
        <v>45941</v>
      </c>
      <c r="C379" t="s">
        <v>50</v>
      </c>
      <c r="D379" t="s">
        <v>43</v>
      </c>
      <c r="E379" t="s">
        <v>97</v>
      </c>
      <c r="F379" t="s">
        <v>34</v>
      </c>
      <c r="G379" t="s">
        <v>27</v>
      </c>
      <c r="H379" t="s">
        <v>28</v>
      </c>
      <c r="I379" t="s">
        <v>20</v>
      </c>
      <c r="J379" t="s">
        <v>35</v>
      </c>
      <c r="K379">
        <v>3</v>
      </c>
      <c r="L379" s="4">
        <v>1595</v>
      </c>
      <c r="M379" s="10">
        <f t="shared" si="5"/>
        <v>4785</v>
      </c>
    </row>
    <row r="380" spans="1:13">
      <c r="A380" t="s">
        <v>506</v>
      </c>
      <c r="B380" s="9">
        <v>45812</v>
      </c>
      <c r="C380" t="s">
        <v>401</v>
      </c>
      <c r="D380" t="s">
        <v>24</v>
      </c>
      <c r="E380" t="s">
        <v>56</v>
      </c>
      <c r="F380" t="s">
        <v>57</v>
      </c>
      <c r="G380" t="s">
        <v>72</v>
      </c>
      <c r="H380" t="s">
        <v>28</v>
      </c>
      <c r="I380" t="s">
        <v>106</v>
      </c>
      <c r="J380" t="s">
        <v>107</v>
      </c>
      <c r="K380">
        <v>1</v>
      </c>
      <c r="L380" s="4">
        <v>1739</v>
      </c>
      <c r="M380" s="10">
        <f t="shared" si="5"/>
        <v>1739</v>
      </c>
    </row>
    <row r="381" spans="1:13">
      <c r="A381" t="s">
        <v>507</v>
      </c>
      <c r="B381" s="9">
        <v>45816</v>
      </c>
      <c r="C381" t="s">
        <v>184</v>
      </c>
      <c r="D381" t="s">
        <v>15</v>
      </c>
      <c r="E381" t="s">
        <v>51</v>
      </c>
      <c r="F381" t="s">
        <v>45</v>
      </c>
      <c r="G381" t="s">
        <v>18</v>
      </c>
      <c r="H381" t="s">
        <v>46</v>
      </c>
      <c r="I381" t="s">
        <v>79</v>
      </c>
      <c r="J381" t="s">
        <v>138</v>
      </c>
      <c r="K381">
        <v>1</v>
      </c>
      <c r="L381" s="4">
        <v>3972</v>
      </c>
      <c r="M381" s="10">
        <f t="shared" si="5"/>
        <v>3972</v>
      </c>
    </row>
    <row r="382" spans="1:13">
      <c r="A382" t="s">
        <v>508</v>
      </c>
      <c r="B382" s="9">
        <v>45787</v>
      </c>
      <c r="C382" t="s">
        <v>76</v>
      </c>
      <c r="D382" t="s">
        <v>43</v>
      </c>
      <c r="E382" t="s">
        <v>56</v>
      </c>
      <c r="F382" t="s">
        <v>57</v>
      </c>
      <c r="G382" t="s">
        <v>18</v>
      </c>
      <c r="H382" t="s">
        <v>19</v>
      </c>
      <c r="I382" t="s">
        <v>79</v>
      </c>
      <c r="J382" t="s">
        <v>242</v>
      </c>
      <c r="K382">
        <v>4</v>
      </c>
      <c r="L382" s="4">
        <v>1432</v>
      </c>
      <c r="M382" s="10">
        <f t="shared" si="5"/>
        <v>5728</v>
      </c>
    </row>
    <row r="383" spans="1:13">
      <c r="A383" t="s">
        <v>509</v>
      </c>
      <c r="B383" s="9">
        <v>45897</v>
      </c>
      <c r="C383" t="s">
        <v>202</v>
      </c>
      <c r="D383" t="s">
        <v>24</v>
      </c>
      <c r="E383" t="s">
        <v>69</v>
      </c>
      <c r="F383" t="s">
        <v>45</v>
      </c>
      <c r="G383" t="s">
        <v>52</v>
      </c>
      <c r="H383" t="s">
        <v>28</v>
      </c>
      <c r="I383" t="s">
        <v>20</v>
      </c>
      <c r="J383" t="s">
        <v>123</v>
      </c>
      <c r="K383">
        <v>1</v>
      </c>
      <c r="L383" s="4">
        <v>350</v>
      </c>
      <c r="M383" s="10">
        <f t="shared" si="5"/>
        <v>350</v>
      </c>
    </row>
    <row r="384" spans="1:13">
      <c r="A384" t="s">
        <v>510</v>
      </c>
      <c r="B384" s="9">
        <v>45754</v>
      </c>
      <c r="C384" t="s">
        <v>160</v>
      </c>
      <c r="D384" t="s">
        <v>43</v>
      </c>
      <c r="E384" t="s">
        <v>84</v>
      </c>
      <c r="F384" t="s">
        <v>26</v>
      </c>
      <c r="G384" t="s">
        <v>18</v>
      </c>
      <c r="H384" t="s">
        <v>28</v>
      </c>
      <c r="I384" t="s">
        <v>39</v>
      </c>
      <c r="J384" t="s">
        <v>40</v>
      </c>
      <c r="K384">
        <v>1</v>
      </c>
      <c r="L384" s="4">
        <v>361</v>
      </c>
      <c r="M384" s="10">
        <f t="shared" si="5"/>
        <v>361</v>
      </c>
    </row>
    <row r="385" spans="1:13">
      <c r="A385" t="s">
        <v>511</v>
      </c>
      <c r="B385" s="9">
        <v>45938</v>
      </c>
      <c r="C385" t="s">
        <v>94</v>
      </c>
      <c r="D385" t="s">
        <v>24</v>
      </c>
      <c r="E385" t="s">
        <v>44</v>
      </c>
      <c r="F385" t="s">
        <v>45</v>
      </c>
      <c r="G385" t="s">
        <v>18</v>
      </c>
      <c r="H385" t="s">
        <v>46</v>
      </c>
      <c r="I385" t="s">
        <v>106</v>
      </c>
      <c r="J385" t="s">
        <v>163</v>
      </c>
      <c r="K385">
        <v>5</v>
      </c>
      <c r="L385" s="4">
        <v>1785</v>
      </c>
      <c r="M385" s="10">
        <f t="shared" si="5"/>
        <v>8925</v>
      </c>
    </row>
    <row r="386" spans="1:13">
      <c r="A386" t="s">
        <v>512</v>
      </c>
      <c r="B386" s="9">
        <v>45913</v>
      </c>
      <c r="C386" t="s">
        <v>145</v>
      </c>
      <c r="D386" t="s">
        <v>24</v>
      </c>
      <c r="E386" t="s">
        <v>51</v>
      </c>
      <c r="F386" t="s">
        <v>45</v>
      </c>
      <c r="G386" t="s">
        <v>18</v>
      </c>
      <c r="H386" t="s">
        <v>28</v>
      </c>
      <c r="I386" t="s">
        <v>39</v>
      </c>
      <c r="J386" t="s">
        <v>125</v>
      </c>
      <c r="K386">
        <v>5</v>
      </c>
      <c r="L386" s="4">
        <v>40</v>
      </c>
      <c r="M386" s="10">
        <f t="shared" ref="M386:M401" si="6">K386*L386</f>
        <v>200</v>
      </c>
    </row>
    <row r="387" spans="1:13">
      <c r="A387" t="s">
        <v>513</v>
      </c>
      <c r="B387" s="9">
        <v>45817</v>
      </c>
      <c r="C387" t="s">
        <v>160</v>
      </c>
      <c r="D387" t="s">
        <v>15</v>
      </c>
      <c r="E387" t="s">
        <v>57</v>
      </c>
      <c r="F387" t="s">
        <v>57</v>
      </c>
      <c r="G387" t="s">
        <v>27</v>
      </c>
      <c r="H387" t="s">
        <v>28</v>
      </c>
      <c r="I387" t="s">
        <v>39</v>
      </c>
      <c r="J387" t="s">
        <v>125</v>
      </c>
      <c r="K387">
        <v>5</v>
      </c>
      <c r="L387" s="4">
        <v>38</v>
      </c>
      <c r="M387" s="10">
        <f t="shared" si="6"/>
        <v>190</v>
      </c>
    </row>
    <row r="388" spans="1:13">
      <c r="A388" t="s">
        <v>514</v>
      </c>
      <c r="B388" s="9">
        <v>45713</v>
      </c>
      <c r="C388" t="s">
        <v>198</v>
      </c>
      <c r="D388" t="s">
        <v>43</v>
      </c>
      <c r="E388" t="s">
        <v>51</v>
      </c>
      <c r="F388" t="s">
        <v>45</v>
      </c>
      <c r="G388" t="s">
        <v>27</v>
      </c>
      <c r="H388" t="s">
        <v>19</v>
      </c>
      <c r="I388" t="s">
        <v>39</v>
      </c>
      <c r="J388" t="s">
        <v>120</v>
      </c>
      <c r="K388">
        <v>4</v>
      </c>
      <c r="L388" s="4">
        <v>139</v>
      </c>
      <c r="M388" s="10">
        <f t="shared" si="6"/>
        <v>556</v>
      </c>
    </row>
    <row r="389" spans="1:13">
      <c r="A389" t="s">
        <v>515</v>
      </c>
      <c r="B389" s="9">
        <v>45877</v>
      </c>
      <c r="C389" t="s">
        <v>82</v>
      </c>
      <c r="D389" t="s">
        <v>24</v>
      </c>
      <c r="E389" t="s">
        <v>33</v>
      </c>
      <c r="F389" t="s">
        <v>34</v>
      </c>
      <c r="G389" t="s">
        <v>27</v>
      </c>
      <c r="H389" t="s">
        <v>19</v>
      </c>
      <c r="I389" t="s">
        <v>47</v>
      </c>
      <c r="J389" t="s">
        <v>172</v>
      </c>
      <c r="K389">
        <v>3</v>
      </c>
      <c r="L389" s="4">
        <v>90</v>
      </c>
      <c r="M389" s="10">
        <f t="shared" si="6"/>
        <v>270</v>
      </c>
    </row>
    <row r="390" spans="1:13">
      <c r="A390" t="s">
        <v>516</v>
      </c>
      <c r="B390" s="9">
        <v>45847</v>
      </c>
      <c r="C390" t="s">
        <v>202</v>
      </c>
      <c r="D390" t="s">
        <v>15</v>
      </c>
      <c r="E390" t="s">
        <v>56</v>
      </c>
      <c r="F390" t="s">
        <v>57</v>
      </c>
      <c r="G390" t="s">
        <v>27</v>
      </c>
      <c r="H390" t="s">
        <v>46</v>
      </c>
      <c r="I390" t="s">
        <v>29</v>
      </c>
      <c r="J390" t="s">
        <v>100</v>
      </c>
      <c r="K390">
        <v>3</v>
      </c>
      <c r="L390" s="4">
        <v>6889</v>
      </c>
      <c r="M390" s="10">
        <f t="shared" si="6"/>
        <v>20667</v>
      </c>
    </row>
    <row r="391" spans="1:13">
      <c r="A391" t="s">
        <v>517</v>
      </c>
      <c r="B391" s="9">
        <v>45990</v>
      </c>
      <c r="C391" t="s">
        <v>137</v>
      </c>
      <c r="D391" t="s">
        <v>43</v>
      </c>
      <c r="E391" t="s">
        <v>44</v>
      </c>
      <c r="F391" t="s">
        <v>45</v>
      </c>
      <c r="G391" t="s">
        <v>27</v>
      </c>
      <c r="H391" t="s">
        <v>58</v>
      </c>
      <c r="I391" t="s">
        <v>47</v>
      </c>
      <c r="J391" t="s">
        <v>103</v>
      </c>
      <c r="K391">
        <v>3</v>
      </c>
      <c r="L391" s="4">
        <v>268</v>
      </c>
      <c r="M391" s="10">
        <f t="shared" si="6"/>
        <v>804</v>
      </c>
    </row>
    <row r="392" spans="1:13">
      <c r="A392" t="s">
        <v>518</v>
      </c>
      <c r="B392" s="9">
        <v>45796</v>
      </c>
      <c r="C392" t="s">
        <v>325</v>
      </c>
      <c r="D392" t="s">
        <v>43</v>
      </c>
      <c r="E392" t="s">
        <v>25</v>
      </c>
      <c r="F392" t="s">
        <v>26</v>
      </c>
      <c r="G392" t="s">
        <v>27</v>
      </c>
      <c r="H392" t="s">
        <v>19</v>
      </c>
      <c r="I392" t="s">
        <v>29</v>
      </c>
      <c r="J392" t="s">
        <v>153</v>
      </c>
      <c r="K392">
        <v>4</v>
      </c>
      <c r="L392" s="4">
        <v>4931</v>
      </c>
      <c r="M392" s="10">
        <f t="shared" si="6"/>
        <v>19724</v>
      </c>
    </row>
    <row r="393" spans="1:13">
      <c r="A393" t="s">
        <v>519</v>
      </c>
      <c r="B393" s="9">
        <v>45895</v>
      </c>
      <c r="C393" t="s">
        <v>135</v>
      </c>
      <c r="D393" t="s">
        <v>43</v>
      </c>
      <c r="E393" t="s">
        <v>44</v>
      </c>
      <c r="F393" t="s">
        <v>45</v>
      </c>
      <c r="G393" t="s">
        <v>27</v>
      </c>
      <c r="H393" t="s">
        <v>19</v>
      </c>
      <c r="I393" t="s">
        <v>20</v>
      </c>
      <c r="J393" t="s">
        <v>35</v>
      </c>
      <c r="K393">
        <v>4</v>
      </c>
      <c r="L393" s="4">
        <v>2260</v>
      </c>
      <c r="M393" s="10">
        <f t="shared" si="6"/>
        <v>9040</v>
      </c>
    </row>
    <row r="394" spans="1:13">
      <c r="A394" t="s">
        <v>520</v>
      </c>
      <c r="B394" s="9">
        <v>45737</v>
      </c>
      <c r="C394" t="s">
        <v>42</v>
      </c>
      <c r="D394" t="s">
        <v>24</v>
      </c>
      <c r="E394" t="s">
        <v>69</v>
      </c>
      <c r="F394" t="s">
        <v>45</v>
      </c>
      <c r="G394" t="s">
        <v>27</v>
      </c>
      <c r="H394" t="s">
        <v>58</v>
      </c>
      <c r="I394" t="s">
        <v>47</v>
      </c>
      <c r="J394" t="s">
        <v>48</v>
      </c>
      <c r="K394">
        <v>3</v>
      </c>
      <c r="L394" s="4">
        <v>567</v>
      </c>
      <c r="M394" s="10">
        <f t="shared" si="6"/>
        <v>1701</v>
      </c>
    </row>
    <row r="395" spans="1:13">
      <c r="A395" t="s">
        <v>521</v>
      </c>
      <c r="B395" s="9">
        <v>45699</v>
      </c>
      <c r="C395" t="s">
        <v>71</v>
      </c>
      <c r="D395" t="s">
        <v>24</v>
      </c>
      <c r="E395" t="s">
        <v>57</v>
      </c>
      <c r="F395" t="s">
        <v>57</v>
      </c>
      <c r="G395" t="s">
        <v>27</v>
      </c>
      <c r="H395" t="s">
        <v>46</v>
      </c>
      <c r="I395" t="s">
        <v>106</v>
      </c>
      <c r="J395" t="s">
        <v>190</v>
      </c>
      <c r="K395">
        <v>4</v>
      </c>
      <c r="L395" s="4">
        <v>821</v>
      </c>
      <c r="M395" s="10">
        <f t="shared" si="6"/>
        <v>3284</v>
      </c>
    </row>
    <row r="396" spans="1:13">
      <c r="A396" t="s">
        <v>522</v>
      </c>
      <c r="B396" s="9">
        <v>45693</v>
      </c>
      <c r="C396" t="s">
        <v>149</v>
      </c>
      <c r="D396" t="s">
        <v>43</v>
      </c>
      <c r="E396" t="s">
        <v>44</v>
      </c>
      <c r="F396" t="s">
        <v>45</v>
      </c>
      <c r="G396" t="s">
        <v>18</v>
      </c>
      <c r="H396" t="s">
        <v>28</v>
      </c>
      <c r="I396" t="s">
        <v>20</v>
      </c>
      <c r="J396" t="s">
        <v>21</v>
      </c>
      <c r="K396">
        <v>2</v>
      </c>
      <c r="L396" s="4">
        <v>2652</v>
      </c>
      <c r="M396" s="10">
        <f t="shared" si="6"/>
        <v>5304</v>
      </c>
    </row>
    <row r="397" spans="1:13">
      <c r="A397" t="s">
        <v>523</v>
      </c>
      <c r="B397" s="9">
        <v>45741</v>
      </c>
      <c r="C397" t="s">
        <v>110</v>
      </c>
      <c r="D397" t="s">
        <v>43</v>
      </c>
      <c r="E397" t="s">
        <v>44</v>
      </c>
      <c r="F397" t="s">
        <v>45</v>
      </c>
      <c r="G397" t="s">
        <v>18</v>
      </c>
      <c r="H397" t="s">
        <v>28</v>
      </c>
      <c r="I397" t="s">
        <v>79</v>
      </c>
      <c r="J397" t="s">
        <v>80</v>
      </c>
      <c r="K397">
        <v>2</v>
      </c>
      <c r="L397" s="4">
        <v>5837</v>
      </c>
      <c r="M397" s="10">
        <f t="shared" si="6"/>
        <v>11674</v>
      </c>
    </row>
    <row r="398" spans="1:13">
      <c r="A398" t="s">
        <v>524</v>
      </c>
      <c r="B398" s="9">
        <v>45779</v>
      </c>
      <c r="C398" t="s">
        <v>32</v>
      </c>
      <c r="D398" t="s">
        <v>24</v>
      </c>
      <c r="E398" t="s">
        <v>25</v>
      </c>
      <c r="F398" t="s">
        <v>26</v>
      </c>
      <c r="G398" t="s">
        <v>27</v>
      </c>
      <c r="H398" t="s">
        <v>58</v>
      </c>
      <c r="I398" t="s">
        <v>106</v>
      </c>
      <c r="J398" t="s">
        <v>133</v>
      </c>
      <c r="K398">
        <v>1</v>
      </c>
      <c r="L398" s="4">
        <v>1639</v>
      </c>
      <c r="M398" s="10">
        <f t="shared" si="6"/>
        <v>1639</v>
      </c>
    </row>
    <row r="399" spans="1:13">
      <c r="A399" t="s">
        <v>525</v>
      </c>
      <c r="B399" s="9">
        <v>45812</v>
      </c>
      <c r="C399" t="s">
        <v>325</v>
      </c>
      <c r="D399" t="s">
        <v>15</v>
      </c>
      <c r="E399" t="s">
        <v>33</v>
      </c>
      <c r="F399" t="s">
        <v>34</v>
      </c>
      <c r="G399" t="s">
        <v>27</v>
      </c>
      <c r="H399" t="s">
        <v>46</v>
      </c>
      <c r="I399" t="s">
        <v>79</v>
      </c>
      <c r="J399" t="s">
        <v>89</v>
      </c>
      <c r="K399">
        <v>3</v>
      </c>
      <c r="L399" s="4">
        <v>1967</v>
      </c>
      <c r="M399" s="10">
        <f t="shared" si="6"/>
        <v>5901</v>
      </c>
    </row>
    <row r="400" spans="1:13">
      <c r="A400" t="s">
        <v>526</v>
      </c>
      <c r="B400" s="9">
        <v>45732</v>
      </c>
      <c r="C400" t="s">
        <v>65</v>
      </c>
      <c r="D400" t="s">
        <v>15</v>
      </c>
      <c r="E400" t="s">
        <v>84</v>
      </c>
      <c r="F400" t="s">
        <v>26</v>
      </c>
      <c r="G400" t="s">
        <v>27</v>
      </c>
      <c r="H400" t="s">
        <v>28</v>
      </c>
      <c r="I400" t="s">
        <v>106</v>
      </c>
      <c r="J400" t="s">
        <v>163</v>
      </c>
      <c r="K400">
        <v>5</v>
      </c>
      <c r="L400" s="4">
        <v>1140</v>
      </c>
      <c r="M400" s="10">
        <f t="shared" si="6"/>
        <v>5700</v>
      </c>
    </row>
    <row r="401" spans="1:13">
      <c r="A401" t="s">
        <v>527</v>
      </c>
      <c r="B401" s="9">
        <v>45788</v>
      </c>
      <c r="C401" t="s">
        <v>114</v>
      </c>
      <c r="D401" t="s">
        <v>43</v>
      </c>
      <c r="E401" t="s">
        <v>25</v>
      </c>
      <c r="F401" t="s">
        <v>26</v>
      </c>
      <c r="G401" t="s">
        <v>18</v>
      </c>
      <c r="H401" t="s">
        <v>28</v>
      </c>
      <c r="I401" t="s">
        <v>62</v>
      </c>
      <c r="J401" t="s">
        <v>63</v>
      </c>
      <c r="K401">
        <v>2</v>
      </c>
      <c r="L401" s="4">
        <v>18994</v>
      </c>
      <c r="M401" s="10">
        <f t="shared" si="6"/>
        <v>37988</v>
      </c>
    </row>
  </sheetData>
  <conditionalFormatting sqref="M2:M4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6"/>
  <sheetViews>
    <sheetView topLeftCell="A9" workbookViewId="0"/>
  </sheetViews>
  <sheetFormatPr defaultColWidth="8.88671875" defaultRowHeight="14.4"/>
  <cols>
    <col min="2" max="2" width="9.5546875"/>
    <col min="4" max="4" width="9.6640625"/>
  </cols>
  <sheetData>
    <row r="1" spans="1:4" ht="21">
      <c r="A1" s="2" t="s">
        <v>528</v>
      </c>
    </row>
    <row r="4" spans="1:4">
      <c r="A4" s="3" t="s">
        <v>529</v>
      </c>
    </row>
    <row r="5" spans="1:4">
      <c r="A5" s="3" t="s">
        <v>5</v>
      </c>
      <c r="B5" s="3" t="s">
        <v>12</v>
      </c>
      <c r="C5" s="3" t="s">
        <v>530</v>
      </c>
      <c r="D5" s="3" t="s">
        <v>531</v>
      </c>
    </row>
    <row r="6" spans="1:4">
      <c r="A6" t="s">
        <v>57</v>
      </c>
      <c r="B6" s="4">
        <f>SUMIFS(Raw_Data!$M$2:$M$401,Raw_Data!$F$2:$F$401,$A6)</f>
        <v>600111</v>
      </c>
      <c r="C6" s="5">
        <f>COUNTIFS(Raw_Data!$F$2:$F$401,$A6)</f>
        <v>68</v>
      </c>
      <c r="D6" s="6">
        <f>IFERROR(B6/C6,0)</f>
        <v>8825.1617647058792</v>
      </c>
    </row>
    <row r="7" spans="1:4">
      <c r="A7" t="s">
        <v>34</v>
      </c>
      <c r="B7" s="4">
        <f>SUMIFS(Raw_Data!$M$2:$M$401,Raw_Data!$F$2:$F$401,$A7)</f>
        <v>461366</v>
      </c>
      <c r="C7" s="5">
        <f>COUNTIFS(Raw_Data!$F$2:$F$401,$A7)</f>
        <v>69</v>
      </c>
      <c r="D7" s="6">
        <f>IFERROR(B7/C7,0)</f>
        <v>6686.4637681159402</v>
      </c>
    </row>
    <row r="8" spans="1:4">
      <c r="A8" t="s">
        <v>17</v>
      </c>
      <c r="B8" s="4">
        <f>SUMIFS(Raw_Data!$M$2:$M$401,Raw_Data!$F$2:$F$401,$A8)</f>
        <v>390559</v>
      </c>
      <c r="C8" s="5">
        <f>COUNTIFS(Raw_Data!$F$2:$F$401,$A8)</f>
        <v>55</v>
      </c>
      <c r="D8" s="6">
        <f>IFERROR(B8/C8,0)</f>
        <v>7101.0727272727299</v>
      </c>
    </row>
    <row r="9" spans="1:4">
      <c r="A9" t="s">
        <v>26</v>
      </c>
      <c r="B9" s="4">
        <f>SUMIFS(Raw_Data!$M$2:$M$401,Raw_Data!$F$2:$F$401,$A9)</f>
        <v>521612</v>
      </c>
      <c r="C9" s="5">
        <f>COUNTIFS(Raw_Data!$F$2:$F$401,$A9)</f>
        <v>68</v>
      </c>
      <c r="D9" s="6">
        <f>IFERROR(B9/C9,0)</f>
        <v>7670.7647058823504</v>
      </c>
    </row>
    <row r="10" spans="1:4">
      <c r="A10" t="s">
        <v>45</v>
      </c>
      <c r="B10" s="4">
        <f>SUMIFS(Raw_Data!$M$2:$M$401,Raw_Data!$F$2:$F$401,$A10)</f>
        <v>1521280</v>
      </c>
      <c r="C10" s="5">
        <f>COUNTIFS(Raw_Data!$F$2:$F$401,$A10)</f>
        <v>140</v>
      </c>
      <c r="D10" s="6">
        <f>IFERROR(B10/C10,0)</f>
        <v>10866.285714285699</v>
      </c>
    </row>
    <row r="11" spans="1:4">
      <c r="A11" s="3" t="s">
        <v>532</v>
      </c>
    </row>
    <row r="12" spans="1:4">
      <c r="A12" s="3" t="s">
        <v>8</v>
      </c>
      <c r="B12" s="3" t="s">
        <v>12</v>
      </c>
      <c r="C12" s="3" t="s">
        <v>10</v>
      </c>
      <c r="D12" s="3" t="s">
        <v>533</v>
      </c>
    </row>
    <row r="13" spans="1:4">
      <c r="A13" t="s">
        <v>62</v>
      </c>
      <c r="B13" s="4">
        <f>SUMIFS(Raw_Data!$M$2:$M$401,Raw_Data!$I$2:$I$401,$A13)</f>
        <v>1657187</v>
      </c>
      <c r="C13" s="5">
        <f>SUMIFS(Raw_Data!$K$2:$K$401,Raw_Data!$I$2:$I$401,$A13)</f>
        <v>119</v>
      </c>
      <c r="D13" s="7">
        <f>IFERROR(B13/SUM(Raw_Data!$M$2:$M$401),0)</f>
        <v>0.47416913882059902</v>
      </c>
    </row>
    <row r="14" spans="1:4">
      <c r="A14" t="s">
        <v>20</v>
      </c>
      <c r="B14" s="4">
        <f>SUMIFS(Raw_Data!$M$2:$M$401,Raw_Data!$I$2:$I$401,$A14)</f>
        <v>220070</v>
      </c>
      <c r="C14" s="5">
        <f>SUMIFS(Raw_Data!$K$2:$K$401,Raw_Data!$I$2:$I$401,$A14)</f>
        <v>150</v>
      </c>
      <c r="D14" s="7">
        <f>IFERROR(B14/SUM(Raw_Data!$M$2:$M$401),0)</f>
        <v>6.2968393054163102E-2</v>
      </c>
    </row>
    <row r="15" spans="1:4">
      <c r="A15" t="s">
        <v>79</v>
      </c>
      <c r="B15" s="4">
        <f>SUMIFS(Raw_Data!$M$2:$M$401,Raw_Data!$I$2:$I$401,$A15)</f>
        <v>528620</v>
      </c>
      <c r="C15" s="5">
        <f>SUMIFS(Raw_Data!$K$2:$K$401,Raw_Data!$I$2:$I$401,$A15)</f>
        <v>173</v>
      </c>
      <c r="D15" s="7">
        <f>IFERROR(B15/SUM(Raw_Data!$M$2:$M$401),0)</f>
        <v>0.15125347360517899</v>
      </c>
    </row>
    <row r="16" spans="1:4">
      <c r="A16" t="s">
        <v>106</v>
      </c>
      <c r="B16" s="4">
        <f>SUMIFS(Raw_Data!$M$2:$M$401,Raw_Data!$I$2:$I$401,$A16)</f>
        <v>171344</v>
      </c>
      <c r="C16" s="5">
        <f>SUMIFS(Raw_Data!$K$2:$K$401,Raw_Data!$I$2:$I$401,$A16)</f>
        <v>150</v>
      </c>
      <c r="D16" s="7">
        <f>IFERROR(B16/SUM(Raw_Data!$M$2:$M$401),0)</f>
        <v>4.9026474937395002E-2</v>
      </c>
    </row>
    <row r="17" spans="1:4">
      <c r="A17" t="s">
        <v>29</v>
      </c>
      <c r="B17" s="4">
        <f>SUMIFS(Raw_Data!$M$2:$M$401,Raw_Data!$I$2:$I$401,$A17)</f>
        <v>739404</v>
      </c>
      <c r="C17" s="5">
        <f>SUMIFS(Raw_Data!$K$2:$K$401,Raw_Data!$I$2:$I$401,$A17)</f>
        <v>166</v>
      </c>
      <c r="D17" s="7">
        <f>IFERROR(B17/SUM(Raw_Data!$M$2:$M$401),0)</f>
        <v>0.21156487343945299</v>
      </c>
    </row>
    <row r="18" spans="1:4">
      <c r="A18" t="s">
        <v>47</v>
      </c>
      <c r="B18" s="4">
        <f>SUMIFS(Raw_Data!$M$2:$M$401,Raw_Data!$I$2:$I$401,$A18)</f>
        <v>49045</v>
      </c>
      <c r="C18" s="5">
        <f>SUMIFS(Raw_Data!$K$2:$K$401,Raw_Data!$I$2:$I$401,$A18)</f>
        <v>143</v>
      </c>
      <c r="D18" s="7">
        <f>IFERROR(B18/SUM(Raw_Data!$M$2:$M$401),0)</f>
        <v>1.40331932446105E-2</v>
      </c>
    </row>
    <row r="19" spans="1:4">
      <c r="A19" t="s">
        <v>39</v>
      </c>
      <c r="B19" s="4">
        <f>SUMIFS(Raw_Data!$M$2:$M$401,Raw_Data!$I$2:$I$401,$A19)</f>
        <v>37609</v>
      </c>
      <c r="C19" s="5">
        <f>SUMIFS(Raw_Data!$K$2:$K$401,Raw_Data!$I$2:$I$401,$A19)</f>
        <v>156</v>
      </c>
      <c r="D19" s="7">
        <f>IFERROR(B19/SUM(Raw_Data!$M$2:$M$401),0)</f>
        <v>1.07610228307994E-2</v>
      </c>
    </row>
    <row r="20" spans="1:4">
      <c r="A20" s="3" t="s">
        <v>534</v>
      </c>
      <c r="B20" s="4">
        <f>SUMIFS(Raw_Data!$M$2:$M$401,Raw_Data!$I$2:$I$401,$A20)</f>
        <v>0</v>
      </c>
      <c r="C20" s="5">
        <f>SUMIFS(Raw_Data!$K$2:$K$401,Raw_Data!$I$2:$I$401,$A20)</f>
        <v>0</v>
      </c>
      <c r="D20" s="7">
        <f>IFERROR(B20/SUM(Raw_Data!$M$2:$M$401),0)</f>
        <v>0</v>
      </c>
    </row>
    <row r="21" spans="1:4">
      <c r="A21" s="3" t="s">
        <v>6</v>
      </c>
      <c r="B21" s="3" t="s">
        <v>12</v>
      </c>
      <c r="C21" s="3" t="s">
        <v>530</v>
      </c>
      <c r="D21" s="3" t="s">
        <v>535</v>
      </c>
    </row>
    <row r="22" spans="1:4">
      <c r="A22" t="s">
        <v>18</v>
      </c>
      <c r="B22" s="4">
        <f>SUMIFS(Raw_Data!$M$2:$M$401,Raw_Data!$G$2:$G$401,$A22)</f>
        <v>1232865</v>
      </c>
      <c r="C22" s="5">
        <f>COUNTIFS(Raw_Data!$G$2:$G$401,$A22)</f>
        <v>154</v>
      </c>
      <c r="D22" s="6">
        <f>IFERROR(B22/C22,0)</f>
        <v>8005.6168831168798</v>
      </c>
    </row>
    <row r="23" spans="1:4">
      <c r="A23" t="s">
        <v>27</v>
      </c>
      <c r="B23" s="4">
        <f>SUMIFS(Raw_Data!$M$2:$M$401,Raw_Data!$G$2:$G$401,$A23)</f>
        <v>1322523</v>
      </c>
      <c r="C23" s="5">
        <f>COUNTIFS(Raw_Data!$G$2:$G$401,$A23)</f>
        <v>164</v>
      </c>
      <c r="D23" s="6">
        <f>IFERROR(B23/C23,0)</f>
        <v>8064.1646341463402</v>
      </c>
    </row>
    <row r="24" spans="1:4">
      <c r="A24" t="s">
        <v>72</v>
      </c>
      <c r="B24" s="4">
        <f>SUMIFS(Raw_Data!$M$2:$M$401,Raw_Data!$G$2:$G$401,$A24)</f>
        <v>564317</v>
      </c>
      <c r="C24" s="5">
        <f>COUNTIFS(Raw_Data!$G$2:$G$401,$A24)</f>
        <v>40</v>
      </c>
      <c r="D24" s="6">
        <f>IFERROR(B24/C24,0)</f>
        <v>14107.924999999999</v>
      </c>
    </row>
    <row r="25" spans="1:4">
      <c r="A25" t="s">
        <v>52</v>
      </c>
      <c r="B25" s="4">
        <f>SUMIFS(Raw_Data!$M$2:$M$401,Raw_Data!$G$2:$G$401,$A25)</f>
        <v>375223</v>
      </c>
      <c r="C25" s="5">
        <f>COUNTIFS(Raw_Data!$G$2:$G$401,$A25)</f>
        <v>42</v>
      </c>
      <c r="D25" s="6">
        <f>IFERROR(B25/C25,0)</f>
        <v>8933.8809523809505</v>
      </c>
    </row>
    <row r="27" spans="1:4">
      <c r="A27" s="3" t="s">
        <v>536</v>
      </c>
    </row>
    <row r="28" spans="1:4">
      <c r="A28" s="3" t="s">
        <v>537</v>
      </c>
      <c r="B28" s="3" t="s">
        <v>12</v>
      </c>
    </row>
    <row r="29" spans="1:4">
      <c r="A29" t="s">
        <v>538</v>
      </c>
      <c r="B29" s="4">
        <f>SUMPRODUCT((MONTH(Raw_Data!$B$2:$B$401)=1)*Raw_Data!$M$2:$M$401)</f>
        <v>250689</v>
      </c>
    </row>
    <row r="30" spans="1:4">
      <c r="A30" t="s">
        <v>539</v>
      </c>
      <c r="B30" s="4">
        <f>SUMPRODUCT((MONTH(Raw_Data!$B$2:$B$401)=2)*Raw_Data!$M$2:$M$401)</f>
        <v>243228</v>
      </c>
    </row>
    <row r="31" spans="1:4">
      <c r="A31" t="s">
        <v>540</v>
      </c>
      <c r="B31" s="4">
        <f>SUMPRODUCT((MONTH(Raw_Data!$B$2:$B$401)=3)*Raw_Data!$M$2:$M$401)</f>
        <v>312835</v>
      </c>
    </row>
    <row r="32" spans="1:4">
      <c r="A32" t="s">
        <v>541</v>
      </c>
      <c r="B32" s="4">
        <f>SUMPRODUCT((MONTH(Raw_Data!$B$2:$B$401)=4)*Raw_Data!$M$2:$M$401)</f>
        <v>213849</v>
      </c>
    </row>
    <row r="33" spans="1:3">
      <c r="A33" t="s">
        <v>542</v>
      </c>
      <c r="B33" s="4">
        <f>SUMPRODUCT((MONTH(Raw_Data!$B$2:$B$401)=5)*Raw_Data!$M$2:$M$401)</f>
        <v>384355</v>
      </c>
    </row>
    <row r="34" spans="1:3">
      <c r="A34" t="s">
        <v>543</v>
      </c>
      <c r="B34" s="4">
        <f>SUMPRODUCT((MONTH(Raw_Data!$B$2:$B$401)=6)*Raw_Data!$M$2:$M$401)</f>
        <v>438231</v>
      </c>
    </row>
    <row r="35" spans="1:3">
      <c r="A35" t="s">
        <v>544</v>
      </c>
      <c r="B35" s="4">
        <f>SUMPRODUCT((MONTH(Raw_Data!$B$2:$B$401)=7)*Raw_Data!$M$2:$M$401)</f>
        <v>205963</v>
      </c>
    </row>
    <row r="36" spans="1:3">
      <c r="A36" t="s">
        <v>545</v>
      </c>
      <c r="B36" s="4">
        <f>SUMPRODUCT((MONTH(Raw_Data!$B$2:$B$401)=8)*Raw_Data!$M$2:$M$401)</f>
        <v>591748</v>
      </c>
    </row>
    <row r="37" spans="1:3">
      <c r="A37" t="s">
        <v>546</v>
      </c>
      <c r="B37" s="4">
        <f>SUMPRODUCT((MONTH(Raw_Data!$B$2:$B$401)=9)*Raw_Data!$M$2:$M$401)</f>
        <v>124855</v>
      </c>
    </row>
    <row r="38" spans="1:3">
      <c r="A38" t="s">
        <v>547</v>
      </c>
      <c r="B38" s="4">
        <f>SUMPRODUCT((MONTH(Raw_Data!$B$2:$B$401)=10)*Raw_Data!$M$2:$M$401)</f>
        <v>398809</v>
      </c>
    </row>
    <row r="39" spans="1:3">
      <c r="A39" t="s">
        <v>548</v>
      </c>
      <c r="B39" s="4">
        <f>SUMPRODUCT((MONTH(Raw_Data!$B$2:$B$401)=11)*Raw_Data!$M$2:$M$401)</f>
        <v>135285</v>
      </c>
    </row>
    <row r="40" spans="1:3">
      <c r="A40" t="s">
        <v>549</v>
      </c>
      <c r="B40" s="4">
        <f>SUMPRODUCT((MONTH(Raw_Data!$B$2:$B$401)=12)*Raw_Data!$M$2:$M$401)</f>
        <v>195081</v>
      </c>
    </row>
    <row r="41" spans="1:3">
      <c r="A41" s="3" t="s">
        <v>550</v>
      </c>
    </row>
    <row r="42" spans="1:3">
      <c r="A42" s="3" t="s">
        <v>3</v>
      </c>
      <c r="B42" s="3" t="s">
        <v>12</v>
      </c>
      <c r="C42" s="3" t="s">
        <v>530</v>
      </c>
    </row>
    <row r="43" spans="1:3">
      <c r="A43" t="s">
        <v>24</v>
      </c>
      <c r="B43" s="4">
        <f>SUMIFS(Raw_Data!$M$2:$M$401,Raw_Data!$D$2:$D$401,$A43)</f>
        <v>1189838</v>
      </c>
      <c r="C43" s="5">
        <f>COUNTIFS(Raw_Data!$D$2:$D$401,$A43)</f>
        <v>138</v>
      </c>
    </row>
    <row r="44" spans="1:3">
      <c r="A44" t="s">
        <v>15</v>
      </c>
      <c r="B44" s="4">
        <f>SUMIFS(Raw_Data!$M$2:$M$401,Raw_Data!$D$2:$D$401,$A44)</f>
        <v>1283078</v>
      </c>
      <c r="C44" s="5">
        <f>COUNTIFS(Raw_Data!$D$2:$D$401,$A44)</f>
        <v>171</v>
      </c>
    </row>
    <row r="45" spans="1:3">
      <c r="A45" t="s">
        <v>43</v>
      </c>
      <c r="B45" s="4">
        <f>SUMIFS(Raw_Data!$M$2:$M$401,Raw_Data!$D$2:$D$401,$A45)</f>
        <v>1022012</v>
      </c>
      <c r="C45" s="5">
        <f>COUNTIFS(Raw_Data!$D$2:$D$401,$A45)</f>
        <v>91</v>
      </c>
    </row>
    <row r="46" spans="1:3">
      <c r="A46" s="3" t="s">
        <v>551</v>
      </c>
    </row>
    <row r="47" spans="1:3">
      <c r="A47" s="3" t="s">
        <v>9</v>
      </c>
      <c r="B47" s="3" t="s">
        <v>12</v>
      </c>
    </row>
    <row r="48" spans="1:3">
      <c r="A48" t="s">
        <v>63</v>
      </c>
      <c r="B48" s="4">
        <f>SUMIFS(Raw_Data!$M$2:$M$401,Raw_Data!$J$2:$J$401,$A48)</f>
        <v>659300</v>
      </c>
    </row>
    <row r="49" spans="1:2">
      <c r="A49" t="s">
        <v>73</v>
      </c>
      <c r="B49" s="4">
        <f>SUMIFS(Raw_Data!$M$2:$M$401,Raw_Data!$J$2:$J$401,$A49)</f>
        <v>507642</v>
      </c>
    </row>
    <row r="50" spans="1:2">
      <c r="A50" t="s">
        <v>256</v>
      </c>
      <c r="B50" s="4">
        <f>SUMIFS(Raw_Data!$M$2:$M$401,Raw_Data!$J$2:$J$401,$A50)</f>
        <v>124556</v>
      </c>
    </row>
    <row r="51" spans="1:2">
      <c r="A51" t="s">
        <v>87</v>
      </c>
      <c r="B51" s="4">
        <f>SUMIFS(Raw_Data!$M$2:$M$401,Raw_Data!$J$2:$J$401,$A51)</f>
        <v>365689</v>
      </c>
    </row>
    <row r="52" spans="1:2">
      <c r="A52" t="s">
        <v>21</v>
      </c>
      <c r="B52" s="4">
        <f>SUMIFS(Raw_Data!$M$2:$M$401,Raw_Data!$J$2:$J$401,$A52)</f>
        <v>49381</v>
      </c>
    </row>
    <row r="53" spans="1:2">
      <c r="A53" t="s">
        <v>123</v>
      </c>
      <c r="B53" s="4">
        <f>SUMIFS(Raw_Data!$M$2:$M$401,Raw_Data!$J$2:$J$401,$A53)</f>
        <v>41874</v>
      </c>
    </row>
    <row r="54" spans="1:2">
      <c r="A54" t="s">
        <v>35</v>
      </c>
      <c r="B54" s="4">
        <f>SUMIFS(Raw_Data!$M$2:$M$401,Raw_Data!$J$2:$J$401,$A54)</f>
        <v>89657</v>
      </c>
    </row>
    <row r="55" spans="1:2">
      <c r="A55" t="s">
        <v>53</v>
      </c>
      <c r="B55" s="4">
        <f>SUMIFS(Raw_Data!$M$2:$M$401,Raw_Data!$J$2:$J$401,$A55)</f>
        <v>39158</v>
      </c>
    </row>
    <row r="56" spans="1:2">
      <c r="A56" t="s">
        <v>80</v>
      </c>
      <c r="B56" s="4">
        <f>SUMIFS(Raw_Data!$M$2:$M$401,Raw_Data!$J$2:$J$401,$A56)</f>
        <v>164425</v>
      </c>
    </row>
    <row r="57" spans="1:2">
      <c r="A57" t="s">
        <v>138</v>
      </c>
      <c r="B57" s="4">
        <f>SUMIFS(Raw_Data!$M$2:$M$401,Raw_Data!$J$2:$J$401,$A57)</f>
        <v>90957</v>
      </c>
    </row>
    <row r="58" spans="1:2">
      <c r="A58" t="s">
        <v>89</v>
      </c>
      <c r="B58" s="4">
        <f>SUMIFS(Raw_Data!$M$2:$M$401,Raw_Data!$J$2:$J$401,$A58)</f>
        <v>147090</v>
      </c>
    </row>
    <row r="59" spans="1:2">
      <c r="A59" t="s">
        <v>242</v>
      </c>
      <c r="B59" s="4">
        <f>SUMIFS(Raw_Data!$M$2:$M$401,Raw_Data!$J$2:$J$401,$A59)</f>
        <v>126148</v>
      </c>
    </row>
    <row r="60" spans="1:2">
      <c r="A60" t="s">
        <v>107</v>
      </c>
      <c r="B60" s="4">
        <f>SUMIFS(Raw_Data!$M$2:$M$401,Raw_Data!$J$2:$J$401,$A60)</f>
        <v>35691</v>
      </c>
    </row>
    <row r="61" spans="1:2">
      <c r="A61" t="s">
        <v>190</v>
      </c>
      <c r="B61" s="4">
        <f>SUMIFS(Raw_Data!$M$2:$M$401,Raw_Data!$J$2:$J$401,$A61)</f>
        <v>54839</v>
      </c>
    </row>
    <row r="62" spans="1:2">
      <c r="A62" t="s">
        <v>163</v>
      </c>
      <c r="B62" s="4">
        <f>SUMIFS(Raw_Data!$M$2:$M$401,Raw_Data!$J$2:$J$401,$A62)</f>
        <v>26736</v>
      </c>
    </row>
    <row r="63" spans="1:2">
      <c r="A63" t="s">
        <v>133</v>
      </c>
      <c r="B63" s="4">
        <f>SUMIFS(Raw_Data!$M$2:$M$401,Raw_Data!$J$2:$J$401,$A63)</f>
        <v>54078</v>
      </c>
    </row>
    <row r="64" spans="1:2">
      <c r="A64" t="s">
        <v>153</v>
      </c>
      <c r="B64" s="4">
        <f>SUMIFS(Raw_Data!$M$2:$M$401,Raw_Data!$J$2:$J$401,$A64)</f>
        <v>143030</v>
      </c>
    </row>
    <row r="65" spans="1:2">
      <c r="A65" t="s">
        <v>92</v>
      </c>
      <c r="B65" s="4">
        <f>SUMIFS(Raw_Data!$M$2:$M$401,Raw_Data!$J$2:$J$401,$A65)</f>
        <v>239196</v>
      </c>
    </row>
    <row r="66" spans="1:2">
      <c r="A66" t="s">
        <v>100</v>
      </c>
      <c r="B66" s="4">
        <f>SUMIFS(Raw_Data!$M$2:$M$401,Raw_Data!$J$2:$J$401,$A66)</f>
        <v>277495</v>
      </c>
    </row>
    <row r="67" spans="1:2">
      <c r="A67" t="s">
        <v>30</v>
      </c>
      <c r="B67" s="4">
        <f>SUMIFS(Raw_Data!$M$2:$M$401,Raw_Data!$J$2:$J$401,$A67)</f>
        <v>79683</v>
      </c>
    </row>
    <row r="68" spans="1:2">
      <c r="A68" t="s">
        <v>77</v>
      </c>
      <c r="B68" s="4">
        <f>SUMIFS(Raw_Data!$M$2:$M$401,Raw_Data!$J$2:$J$401,$A68)</f>
        <v>7583</v>
      </c>
    </row>
    <row r="69" spans="1:2">
      <c r="A69" t="s">
        <v>103</v>
      </c>
      <c r="B69" s="4">
        <f>SUMIFS(Raw_Data!$M$2:$M$401,Raw_Data!$J$2:$J$401,$A69)</f>
        <v>14656</v>
      </c>
    </row>
    <row r="70" spans="1:2">
      <c r="A70" t="s">
        <v>48</v>
      </c>
      <c r="B70" s="4">
        <f>SUMIFS(Raw_Data!$M$2:$M$401,Raw_Data!$J$2:$J$401,$A70)</f>
        <v>12178</v>
      </c>
    </row>
    <row r="71" spans="1:2">
      <c r="A71" t="s">
        <v>172</v>
      </c>
      <c r="B71" s="4">
        <f>SUMIFS(Raw_Data!$M$2:$M$401,Raw_Data!$J$2:$J$401,$A71)</f>
        <v>14628</v>
      </c>
    </row>
    <row r="72" spans="1:2">
      <c r="A72" t="s">
        <v>40</v>
      </c>
      <c r="B72" s="4">
        <f>SUMIFS(Raw_Data!$M$2:$M$401,Raw_Data!$J$2:$J$401,$A72)</f>
        <v>10877</v>
      </c>
    </row>
    <row r="73" spans="1:2">
      <c r="A73" t="s">
        <v>125</v>
      </c>
      <c r="B73" s="4">
        <f>SUMIFS(Raw_Data!$M$2:$M$401,Raw_Data!$J$2:$J$401,$A73)</f>
        <v>6834</v>
      </c>
    </row>
    <row r="74" spans="1:2">
      <c r="A74" t="s">
        <v>188</v>
      </c>
      <c r="B74" s="4">
        <f>SUMIFS(Raw_Data!$M$2:$M$401,Raw_Data!$J$2:$J$401,$A74)</f>
        <v>7278</v>
      </c>
    </row>
    <row r="75" spans="1:2">
      <c r="A75" t="s">
        <v>120</v>
      </c>
      <c r="B75" s="4">
        <f>SUMIFS(Raw_Data!$M$2:$M$401,Raw_Data!$J$2:$J$401,$A75)</f>
        <v>12620</v>
      </c>
    </row>
    <row r="76" spans="1:2">
      <c r="A76" t="s">
        <v>66</v>
      </c>
      <c r="B76" s="4">
        <f>SUMIFS(Raw_Data!$M$2:$M$401,Raw_Data!$J$2:$J$401,$A76)</f>
        <v>18558</v>
      </c>
    </row>
    <row r="77" spans="1:2">
      <c r="A77" t="s">
        <v>60</v>
      </c>
      <c r="B77" s="4">
        <f>SUMIFS(Raw_Data!$M$2:$M$401,Raw_Data!$J$2:$J$401,$A77)</f>
        <v>33448</v>
      </c>
    </row>
    <row r="78" spans="1:2">
      <c r="A78" t="s">
        <v>112</v>
      </c>
      <c r="B78" s="4">
        <f>SUMIFS(Raw_Data!$M$2:$M$401,Raw_Data!$J$2:$J$401,$A78)</f>
        <v>22919</v>
      </c>
    </row>
    <row r="79" spans="1:2">
      <c r="A79" t="s">
        <v>130</v>
      </c>
      <c r="B79" s="4">
        <f>SUMIFS(Raw_Data!$M$2:$M$401,Raw_Data!$J$2:$J$401,$A79)</f>
        <v>16724</v>
      </c>
    </row>
    <row r="80" spans="1:2">
      <c r="A80" s="3" t="s">
        <v>552</v>
      </c>
    </row>
    <row r="81" spans="1:3">
      <c r="A81" s="3" t="s">
        <v>553</v>
      </c>
      <c r="B81" s="3" t="s">
        <v>9</v>
      </c>
      <c r="C81" s="3" t="s">
        <v>12</v>
      </c>
    </row>
    <row r="82" spans="1:3">
      <c r="A82">
        <v>1</v>
      </c>
      <c r="B82" t="str">
        <f>INDEX($A$48:$A$78,MATCH(LARGE($B$48:$B$78,$A82),$B$48:$B$78,0))</f>
        <v>Smartphone</v>
      </c>
      <c r="C82" s="4">
        <f>LARGE($B$48:$B$78,$A82)</f>
        <v>659300</v>
      </c>
    </row>
    <row r="83" spans="1:3">
      <c r="A83">
        <v>2</v>
      </c>
      <c r="B83" t="str">
        <f>INDEX($A$48:$A$78,MATCH(LARGE($B$48:$B$78,$A83),$B$48:$B$78,0))</f>
        <v>Laptop</v>
      </c>
      <c r="C83" s="4">
        <f>LARGE($B$48:$B$78,$A83)</f>
        <v>507642</v>
      </c>
    </row>
    <row r="84" spans="1:3">
      <c r="A84">
        <v>3</v>
      </c>
      <c r="B84" t="str">
        <f>INDEX($A$48:$A$78,MATCH(LARGE($B$48:$B$78,$A84),$B$48:$B$78,0))</f>
        <v>Smart Watch</v>
      </c>
      <c r="C84" s="4">
        <f>LARGE($B$48:$B$78,$A84)</f>
        <v>365689</v>
      </c>
    </row>
    <row r="85" spans="1:3">
      <c r="A85">
        <v>4</v>
      </c>
      <c r="B85" t="str">
        <f>INDEX($A$48:$A$78,MATCH(LARGE($B$48:$B$78,$A85),$B$48:$B$78,0))</f>
        <v>Protein Powder</v>
      </c>
      <c r="C85" s="4">
        <f>LARGE($B$48:$B$78,$A85)</f>
        <v>277495</v>
      </c>
    </row>
    <row r="86" spans="1:3">
      <c r="A86">
        <v>5</v>
      </c>
      <c r="B86" t="str">
        <f>INDEX($A$48:$A$78,MATCH(LARGE($B$48:$B$78,$A86),$B$48:$B$78,0))</f>
        <v>Dumbbell Set</v>
      </c>
      <c r="C86" s="4">
        <f>LARGE($B$48:$B$78,$A86)</f>
        <v>239196</v>
      </c>
    </row>
  </sheetData>
  <conditionalFormatting sqref="B13:B1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{7FEC01D4-66FB-4352-AE98-B4EC2105CD61}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EC01D4-66FB-4352-AE98-B4EC2105CD61}">
            <x14:dataBar minLength="0" maxLength="100" negativeBarColorSameAsPositive="1" axisPosition="none">
              <x14:cfvo type="min"/>
              <x14:cfvo type="max"/>
            </x14:dataBar>
          </x14:cfRule>
          <xm:sqref>B13:B19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6"/>
  <sheetViews>
    <sheetView tabSelected="1" zoomScale="88" zoomScaleNormal="85" workbookViewId="0">
      <selection activeCell="D45" sqref="D45"/>
    </sheetView>
  </sheetViews>
  <sheetFormatPr defaultColWidth="8.88671875" defaultRowHeight="14.4"/>
  <cols>
    <col min="1" max="1" width="29" customWidth="1"/>
    <col min="2" max="2" width="28" customWidth="1"/>
    <col min="3" max="3" width="37" customWidth="1"/>
    <col min="4" max="4" width="49.21875" customWidth="1"/>
    <col min="5" max="5" width="45.88671875" customWidth="1"/>
    <col min="6" max="6" width="46" customWidth="1"/>
  </cols>
  <sheetData>
    <row r="1" spans="1:10" ht="25.8">
      <c r="A1" s="12" t="s">
        <v>554</v>
      </c>
      <c r="B1" s="12"/>
      <c r="C1" s="12"/>
      <c r="D1" s="12"/>
      <c r="E1" s="12"/>
      <c r="F1" s="12"/>
      <c r="G1" s="11"/>
      <c r="H1" s="11"/>
      <c r="I1" s="11"/>
      <c r="J1" s="11"/>
    </row>
    <row r="2" spans="1:10" ht="6.6" customHeight="1" thickBot="1">
      <c r="A2" s="11"/>
      <c r="B2" s="11"/>
      <c r="C2" s="11"/>
      <c r="D2" s="11"/>
      <c r="E2" s="11"/>
      <c r="F2" s="11"/>
      <c r="G2" s="11"/>
      <c r="H2" s="11"/>
      <c r="I2" s="11"/>
      <c r="J2" s="11"/>
    </row>
    <row r="3" spans="1:10" s="15" customFormat="1" ht="21" customHeight="1" thickBot="1">
      <c r="A3" s="13" t="s">
        <v>12</v>
      </c>
      <c r="B3" s="13" t="s">
        <v>555</v>
      </c>
      <c r="C3" s="13" t="s">
        <v>531</v>
      </c>
      <c r="D3" s="13" t="s">
        <v>556</v>
      </c>
      <c r="E3" s="13" t="s">
        <v>557</v>
      </c>
      <c r="F3" s="13" t="s">
        <v>558</v>
      </c>
      <c r="G3" s="14"/>
      <c r="H3" s="14"/>
      <c r="I3" s="14"/>
      <c r="J3" s="14"/>
    </row>
    <row r="4" spans="1:10" s="18" customFormat="1" ht="39" customHeight="1" thickBot="1">
      <c r="A4" s="16">
        <f>SUM(Raw_Data!M2:M401)</f>
        <v>3494928</v>
      </c>
      <c r="B4" s="16">
        <f>COUNTA(Raw_Data!A2:A401)</f>
        <v>400</v>
      </c>
      <c r="C4" s="16">
        <f>IFERROR(AVERAGE(Raw_Data!M2:M401),0)</f>
        <v>8737.32</v>
      </c>
      <c r="D4" s="16">
        <f>SUM(Raw_Data!K2:K401)</f>
        <v>1191</v>
      </c>
      <c r="E4" s="16" t="str">
        <f>INDEX(Summary!$A$13:$A$20,MATCH(MAX(Summary!$B$13:$B$20),Summary!$B$13:$B$20,0))</f>
        <v>Electronics</v>
      </c>
      <c r="F4" s="16" t="str">
        <f>INDEX(Summary!$A$48:$A$78,MATCH(LARGE(Summary!$B$48:$B$78,1),Summary!$B$48:$B$78,0))</f>
        <v>Smartphone</v>
      </c>
      <c r="G4" s="17"/>
      <c r="H4" s="17"/>
      <c r="I4" s="17"/>
      <c r="J4" s="17"/>
    </row>
    <row r="5" spans="1:10" ht="21" customHeight="1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>
      <c r="A6" s="11"/>
      <c r="B6" s="11"/>
      <c r="C6" s="11"/>
      <c r="D6" s="11"/>
      <c r="E6" s="11"/>
      <c r="F6" s="11"/>
      <c r="G6" s="11"/>
      <c r="H6" s="11"/>
      <c r="I6" s="11"/>
      <c r="J6" s="11"/>
    </row>
    <row r="7" spans="1:10">
      <c r="A7" s="11"/>
      <c r="B7" s="11"/>
      <c r="C7" s="11"/>
      <c r="D7" s="11"/>
      <c r="E7" s="11"/>
      <c r="F7" s="11"/>
      <c r="G7" s="11"/>
      <c r="H7" s="11"/>
      <c r="I7" s="11"/>
      <c r="J7" s="11"/>
    </row>
    <row r="8" spans="1:10">
      <c r="A8" s="11"/>
      <c r="B8" s="11"/>
      <c r="C8" s="11"/>
      <c r="D8" s="11"/>
      <c r="E8" s="11"/>
      <c r="F8" s="11"/>
      <c r="G8" s="11"/>
      <c r="H8" s="11"/>
      <c r="I8" s="11"/>
      <c r="J8" s="11"/>
    </row>
    <row r="9" spans="1:10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>
      <c r="A10" s="11"/>
      <c r="B10" s="11"/>
      <c r="C10" s="11"/>
      <c r="D10" s="11"/>
      <c r="E10" s="11"/>
      <c r="F10" s="11"/>
      <c r="G10" s="11"/>
      <c r="H10" s="11"/>
      <c r="I10" s="11"/>
      <c r="J10" s="11"/>
    </row>
    <row r="11" spans="1:10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 spans="1:10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0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spans="1:10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spans="1:10" ht="6.6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0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spans="1:10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spans="1:10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0" ht="3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0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spans="1:10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spans="1:10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 spans="1:10" ht="3.6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 spans="1:10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 spans="1:10">
      <c r="A28" s="11"/>
      <c r="B28" s="11"/>
      <c r="C28" s="11"/>
      <c r="D28" s="11"/>
      <c r="E28" s="11"/>
      <c r="F28" s="11"/>
      <c r="G28" s="11"/>
      <c r="H28" s="11"/>
      <c r="I28" s="11"/>
      <c r="J28" s="11"/>
    </row>
    <row r="29" spans="1:10">
      <c r="A29" s="11"/>
      <c r="B29" s="11"/>
      <c r="C29" s="11"/>
      <c r="D29" s="11"/>
      <c r="E29" s="11"/>
      <c r="F29" s="11"/>
      <c r="G29" s="11"/>
      <c r="H29" s="11"/>
      <c r="I29" s="11"/>
      <c r="J29" s="11"/>
    </row>
    <row r="30" spans="1:10">
      <c r="A30" s="11"/>
      <c r="B30" s="11"/>
      <c r="C30" s="11"/>
      <c r="D30" s="11"/>
      <c r="E30" s="11"/>
      <c r="F30" s="11"/>
      <c r="G30" s="11"/>
      <c r="H30" s="11"/>
      <c r="I30" s="11"/>
      <c r="J30" s="11"/>
    </row>
    <row r="31" spans="1:10">
      <c r="A31" s="11"/>
      <c r="B31" s="11"/>
      <c r="C31" s="11"/>
      <c r="D31" s="11"/>
      <c r="E31" s="11"/>
      <c r="F31" s="11"/>
      <c r="G31" s="11"/>
      <c r="H31" s="11"/>
      <c r="I31" s="11"/>
      <c r="J31" s="11"/>
    </row>
    <row r="32" spans="1:10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 spans="1:10">
      <c r="A33" s="11"/>
      <c r="B33" s="11"/>
      <c r="C33" s="11"/>
      <c r="D33" s="11"/>
      <c r="E33" s="11"/>
      <c r="F33" s="11"/>
      <c r="G33" s="11"/>
      <c r="H33" s="11"/>
      <c r="I33" s="11"/>
      <c r="J33" s="11"/>
    </row>
    <row r="34" spans="1:10">
      <c r="A34" s="11"/>
      <c r="B34" s="11"/>
      <c r="C34" s="11"/>
      <c r="D34" s="11"/>
      <c r="E34" s="11"/>
      <c r="F34" s="11"/>
      <c r="G34" s="11"/>
      <c r="H34" s="11"/>
      <c r="I34" s="11"/>
      <c r="J34" s="11"/>
    </row>
    <row r="35" spans="1:10">
      <c r="A35" s="11"/>
      <c r="B35" s="11"/>
      <c r="C35" s="11"/>
      <c r="D35" s="11"/>
      <c r="E35" s="11"/>
      <c r="F35" s="11"/>
      <c r="G35" s="11"/>
      <c r="H35" s="11"/>
      <c r="I35" s="11"/>
      <c r="J35" s="11"/>
    </row>
    <row r="36" spans="1:10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 spans="1:10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 spans="1:10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 spans="1:10">
      <c r="A39" s="11"/>
      <c r="B39" s="11"/>
      <c r="C39" s="11"/>
      <c r="D39" s="11"/>
      <c r="E39" s="11"/>
      <c r="F39" s="11"/>
      <c r="G39" s="11"/>
      <c r="H39" s="11"/>
      <c r="I39" s="11"/>
      <c r="J39" s="11"/>
    </row>
    <row r="40" spans="1:10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spans="1:10">
      <c r="A41" s="11"/>
      <c r="B41" s="11"/>
      <c r="C41" s="11"/>
      <c r="D41" s="11"/>
      <c r="E41" s="11"/>
      <c r="F41" s="11"/>
      <c r="G41" s="11"/>
      <c r="H41" s="11"/>
      <c r="I41" s="11"/>
      <c r="J41" s="11"/>
    </row>
    <row r="42" spans="1:10">
      <c r="A42" s="11"/>
      <c r="B42" s="11"/>
      <c r="C42" s="11"/>
      <c r="D42" s="11"/>
      <c r="E42" s="11"/>
      <c r="F42" s="11"/>
      <c r="G42" s="11"/>
      <c r="H42" s="11"/>
      <c r="I42" s="11"/>
      <c r="J42" s="11"/>
    </row>
    <row r="43" spans="1:10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spans="1:10">
      <c r="A44" s="11"/>
      <c r="B44" s="11"/>
      <c r="C44" s="11"/>
      <c r="D44" s="11"/>
      <c r="E44" s="11"/>
      <c r="F44" s="11"/>
      <c r="G44" s="11"/>
      <c r="H44" s="11"/>
      <c r="I44" s="11"/>
      <c r="J44" s="11"/>
    </row>
    <row r="45" spans="1:10">
      <c r="A45" s="11"/>
      <c r="B45" s="11"/>
      <c r="C45" s="11"/>
      <c r="D45" s="11"/>
      <c r="E45" s="11"/>
      <c r="F45" s="11"/>
      <c r="G45" s="11"/>
      <c r="H45" s="11"/>
      <c r="I45" s="11"/>
      <c r="J45" s="11"/>
    </row>
    <row r="46" spans="1:10">
      <c r="A46" s="11"/>
      <c r="B46" s="11"/>
      <c r="C46" s="11"/>
      <c r="D46" s="11"/>
      <c r="E46" s="11"/>
      <c r="F46" s="11"/>
      <c r="G46" s="11"/>
      <c r="H46" s="11"/>
      <c r="I46" s="11"/>
      <c r="J46" s="11"/>
    </row>
  </sheetData>
  <mergeCells count="1">
    <mergeCell ref="A1:F1"/>
  </mergeCells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ELmagic</dc:creator>
  <cp:lastModifiedBy>Mohamed Hany</cp:lastModifiedBy>
  <dcterms:created xsi:type="dcterms:W3CDTF">2026-09-06T17:04:45Z</dcterms:created>
  <dcterms:modified xsi:type="dcterms:W3CDTF">2026-10-02T01:07:07Z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04A5B1A8A19844FB9EF1C4E2FCCE3C8F_11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